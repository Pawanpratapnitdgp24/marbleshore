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singhchauhan\Documents\"/>
    </mc:Choice>
  </mc:AlternateContent>
  <xr:revisionPtr revIDLastSave="0" documentId="8_{5B11697F-80BF-4BE6-9C0D-6E19C9B81F2C}" xr6:coauthVersionLast="47" xr6:coauthVersionMax="47" xr10:uidLastSave="{00000000-0000-0000-0000-000000000000}"/>
  <bookViews>
    <workbookView xWindow="-110" yWindow="-110" windowWidth="19420" windowHeight="10300" firstSheet="1" activeTab="1" xr2:uid="{B847AEFC-0DE8-4BE6-85B3-A2A80BD9C3DD}"/>
  </bookViews>
  <sheets>
    <sheet name="PCS workstreams" sheetId="1" r:id="rId1"/>
    <sheet name="SRM downstream" sheetId="2" r:id="rId2"/>
    <sheet name="Impacted Apps" sheetId="3" r:id="rId3"/>
    <sheet name="ASCO" sheetId="5" r:id="rId4"/>
    <sheet name="example - testing timeline" sheetId="4" r:id="rId5"/>
  </sheets>
  <definedNames>
    <definedName name="_xlnm._FilterDatabase" localSheetId="2" hidden="1">'Impacted Apps'!$A$1:$K$18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AL3" i="4" s="1"/>
  <c r="AM3" i="4" s="1"/>
  <c r="AN3" i="4" s="1"/>
  <c r="AO3" i="4" s="1"/>
  <c r="AP3" i="4" s="1"/>
  <c r="AQ3" i="4" s="1"/>
  <c r="AR3" i="4" s="1"/>
  <c r="AS3" i="4" s="1"/>
  <c r="AT3" i="4" s="1"/>
  <c r="AU3" i="4" s="1"/>
  <c r="AV3" i="4" s="1"/>
  <c r="AW3" i="4" s="1"/>
  <c r="AX3" i="4" s="1"/>
  <c r="AY3" i="4" s="1"/>
  <c r="AZ3" i="4" s="1"/>
  <c r="BA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Ritter, Frances</author>
  </authors>
  <commentList>
    <comment ref="A6" authorId="0" shapeId="0" xr:uid="{04D001AF-57DB-4FC5-BCC6-9AD155F7284C}">
      <text>
        <r>
          <rPr>
            <b/>
            <sz val="9"/>
            <color indexed="81"/>
            <rFont val="Tahoma"/>
            <charset val="1"/>
          </rPr>
          <t>Ritter, Frances:</t>
        </r>
        <r>
          <rPr>
            <sz val="9"/>
            <color indexed="81"/>
            <rFont val="Tahoma"/>
            <charset val="1"/>
          </rPr>
          <t xml:space="preserve">
Financial Data Conformance Layer</t>
        </r>
      </text>
    </comment>
  </commentList>
</comments>
</file>

<file path=xl/sharedStrings.xml><?xml version="1.0" encoding="utf-8"?>
<sst xmlns="http://schemas.openxmlformats.org/spreadsheetml/2006/main" count="274" uniqueCount="176">
  <si>
    <t>PCS</t>
  </si>
  <si>
    <t>AIG</t>
  </si>
  <si>
    <t>stream1</t>
  </si>
  <si>
    <t>Daily Premium Bordereau</t>
  </si>
  <si>
    <t>Adeptia</t>
  </si>
  <si>
    <t>Data Curation Services</t>
  </si>
  <si>
    <t>PR</t>
  </si>
  <si>
    <t>CRS</t>
  </si>
  <si>
    <t>GDW</t>
  </si>
  <si>
    <t>FPSL</t>
  </si>
  <si>
    <t>SAP-GL</t>
  </si>
  <si>
    <t>SAP-CD</t>
  </si>
  <si>
    <t>Surplus Lines</t>
  </si>
  <si>
    <t>DARs [based on backfeeds]</t>
  </si>
  <si>
    <t>stream2</t>
  </si>
  <si>
    <t>Daily Claims Bordereau</t>
  </si>
  <si>
    <t>MGA-PCS-Data</t>
  </si>
  <si>
    <t>stream3</t>
  </si>
  <si>
    <t>Monthly feed [premiums &amp; claims]</t>
  </si>
  <si>
    <t>PCG-DW</t>
  </si>
  <si>
    <t>SRM</t>
  </si>
  <si>
    <t>see pic for downstream flow</t>
  </si>
  <si>
    <t>Reports</t>
  </si>
  <si>
    <t>NASH</t>
  </si>
  <si>
    <t>source: Ashish Mangla</t>
  </si>
  <si>
    <t>no</t>
  </si>
  <si>
    <t>gearid</t>
  </si>
  <si>
    <t>gear name</t>
  </si>
  <si>
    <t>AIG Technical Lead</t>
  </si>
  <si>
    <t>code release required?</t>
  </si>
  <si>
    <t>QA Testing required?</t>
  </si>
  <si>
    <t>test cases required?</t>
  </si>
  <si>
    <t>specific test data needs [if any]</t>
  </si>
  <si>
    <t>Anil Kumar and Alla</t>
  </si>
  <si>
    <t>Kvn Babu and Amitava Ghosh</t>
  </si>
  <si>
    <t>PCS-MGA-Data</t>
  </si>
  <si>
    <t>Kvn Babu and Patrick Arulappan</t>
  </si>
  <si>
    <t>Debbie Schmidt and Veera Reddy</t>
  </si>
  <si>
    <t>Pareshkumar Jivani/Raj Salaria</t>
  </si>
  <si>
    <t>Prasad Madhavan/Raj Salaria</t>
  </si>
  <si>
    <t>DARs</t>
  </si>
  <si>
    <t>Panikumar Nookala</t>
  </si>
  <si>
    <t>SL Filing System</t>
  </si>
  <si>
    <t>Dennis Najar</t>
  </si>
  <si>
    <t>8 weeks</t>
  </si>
  <si>
    <t>yes</t>
  </si>
  <si>
    <t>Kvn Babu &amp; Yakub Shaik</t>
  </si>
  <si>
    <t>Week 1</t>
  </si>
  <si>
    <t>Week 2</t>
  </si>
  <si>
    <t>Week 3</t>
  </si>
  <si>
    <t>Week 4</t>
  </si>
  <si>
    <t>Week 5</t>
  </si>
  <si>
    <t>Workstream</t>
  </si>
  <si>
    <t>Start</t>
  </si>
  <si>
    <t>End</t>
  </si>
  <si>
    <t>owner</t>
  </si>
  <si>
    <t>Total Work Days</t>
  </si>
  <si>
    <t>Comments</t>
  </si>
  <si>
    <t xml:space="preserve">Close Acceleration Test - </t>
  </si>
  <si>
    <t>CRS &gt; GDW</t>
  </si>
  <si>
    <t>Veera</t>
  </si>
  <si>
    <t>FGEN sends files</t>
  </si>
  <si>
    <t>GDW &gt; FDCL</t>
  </si>
  <si>
    <t>GDW &gt; FPSL / SRM</t>
  </si>
  <si>
    <t>Sri</t>
  </si>
  <si>
    <t>5 days to process FGEN data and send to FPSL</t>
  </si>
  <si>
    <t>FPSL &gt; GL / GDW</t>
  </si>
  <si>
    <t>KC</t>
  </si>
  <si>
    <t>5 days to process and send backfeed to GDW</t>
  </si>
  <si>
    <t>GL [BC4] &gt; GDW [EC1 to BC4 is a critical step for the GL process]</t>
  </si>
  <si>
    <t>Kriti</t>
  </si>
  <si>
    <t>2 Days to send the GL extract to GDW (backfeed file)</t>
  </si>
  <si>
    <t>SRM [R1 flow - negative test]</t>
  </si>
  <si>
    <t>Babu</t>
  </si>
  <si>
    <t>1 dependent on step8</t>
  </si>
  <si>
    <t xml:space="preserve">6 days to process data </t>
  </si>
  <si>
    <t>Backfeed load &amp; GDW Datamart Processing</t>
  </si>
  <si>
    <t>7 days dependent on 11 and 12 to start</t>
  </si>
  <si>
    <t>This is ongoing from the start  9/16 through 10/4 - need to validate</t>
  </si>
  <si>
    <t>GDW dataload for centralized outbound tables</t>
  </si>
  <si>
    <t>1 days dependent on task 11</t>
  </si>
  <si>
    <t>Naga/Pani</t>
  </si>
  <si>
    <t>4 days dep on task 15</t>
  </si>
  <si>
    <t>RIPS [RIMS] - combine with reinsurance data</t>
  </si>
  <si>
    <t>Vadivel</t>
  </si>
  <si>
    <t>GL - Bus Review</t>
  </si>
  <si>
    <t>Brian</t>
  </si>
  <si>
    <t>2 days dependent on task 12</t>
  </si>
  <si>
    <t>DARs Bus Review</t>
  </si>
  <si>
    <t>Kelly</t>
  </si>
  <si>
    <t>1 day dependent on task 16</t>
  </si>
  <si>
    <t>PCG-DW to SRM Test</t>
  </si>
  <si>
    <t>obtain PCG-DW reinsurance files</t>
  </si>
  <si>
    <t>Deloitte</t>
  </si>
  <si>
    <t>PCG-DW to SRM &gt; FPSL / FSCD</t>
  </si>
  <si>
    <t>SRM &gt; GDW/FPSL/FSCD</t>
  </si>
  <si>
    <t>dep, 23, 25, 26, 27</t>
  </si>
  <si>
    <t>FSCD &gt; GL / GDW (SRM data)</t>
  </si>
  <si>
    <t>12/XX/2025</t>
  </si>
  <si>
    <t>???</t>
  </si>
  <si>
    <t>FPSL &gt; GL / GDW (SRM data)</t>
  </si>
  <si>
    <t>GL &gt; GDW (SRM Data)</t>
  </si>
  <si>
    <t>RIPS [RIMS]</t>
  </si>
  <si>
    <t>Jeevan Kumar</t>
  </si>
  <si>
    <t>DARs - no testing since this is 'non machine'</t>
  </si>
  <si>
    <t>SRM Bus Review</t>
  </si>
  <si>
    <t>Hilary</t>
  </si>
  <si>
    <t>FA-SAP-EP3</t>
  </si>
  <si>
    <t>Rayna Von Gerard</t>
  </si>
  <si>
    <t>FA-SAP-R3P</t>
  </si>
  <si>
    <t>Srilakshmi Potharaboina</t>
  </si>
  <si>
    <t>RRD</t>
  </si>
  <si>
    <t>Application QA Team availability</t>
  </si>
  <si>
    <t>time to prepare application using BAU Team</t>
  </si>
  <si>
    <t>UAT Tester &amp; UAT approver</t>
  </si>
  <si>
    <t>Maria - update tables?</t>
  </si>
  <si>
    <t>Marbleshore Specialty Insurance Co</t>
  </si>
  <si>
    <t>GDW Financial Reporting Product</t>
  </si>
  <si>
    <t>Krishna Vanka</t>
  </si>
  <si>
    <t>Thangaraj, Anand</t>
  </si>
  <si>
    <t>Achintya Adhikari</t>
  </si>
  <si>
    <t>FA-Schedule -F</t>
  </si>
  <si>
    <t>provided by Deloitte</t>
  </si>
  <si>
    <t>FPSL / DCL</t>
  </si>
  <si>
    <t>6929
 / 5700</t>
  </si>
  <si>
    <t>2 weeks</t>
  </si>
  <si>
    <t>GDW &amp; SRM outbound files to DCL/FPSL</t>
  </si>
  <si>
    <t>TBD</t>
  </si>
  <si>
    <t>home</t>
  </si>
  <si>
    <t>collections</t>
  </si>
  <si>
    <t>excess liability</t>
  </si>
  <si>
    <t>excess flood</t>
  </si>
  <si>
    <t>earthquake</t>
  </si>
  <si>
    <t>lines:</t>
  </si>
  <si>
    <t>NA</t>
  </si>
  <si>
    <t>GDW/Financial Close Data Product</t>
  </si>
  <si>
    <t>no change to:</t>
  </si>
  <si>
    <t>Major Class [MJC]</t>
  </si>
  <si>
    <t>varies - Josmy to manage</t>
  </si>
  <si>
    <t>2 months</t>
  </si>
  <si>
    <t>change to Marbleshore happens upon renewal OR a new issue</t>
  </si>
  <si>
    <t>none</t>
  </si>
  <si>
    <t>Yes</t>
  </si>
  <si>
    <t>Only Tester</t>
  </si>
  <si>
    <t>Craig Goldman</t>
  </si>
  <si>
    <t>Jet</t>
  </si>
  <si>
    <t>DSP Division, section, profit unit</t>
  </si>
  <si>
    <t>Sunil Mantoo/Vinod Vimal</t>
  </si>
  <si>
    <t>all five products across five states.  Clyde to select the states.  Test data largely driven by SAP-CD requirements</t>
  </si>
  <si>
    <t>Anil Kumar and Ian King</t>
  </si>
  <si>
    <t xml:space="preserve">Jason D Brown' s Team </t>
  </si>
  <si>
    <t>new business, renewals, endorsements, cancel/ reissue and cance/rewrite/Account Current payments</t>
  </si>
  <si>
    <t>policy #</t>
  </si>
  <si>
    <t>ASCO</t>
  </si>
  <si>
    <t>effective date</t>
  </si>
  <si>
    <t>Lexington</t>
  </si>
  <si>
    <t>Marbleshore</t>
  </si>
  <si>
    <t>No</t>
  </si>
  <si>
    <t>2 Weeks</t>
  </si>
  <si>
    <t>Monthly Data, Sample policy which is in production and now re-written by MarbleShore</t>
  </si>
  <si>
    <t>Fryd Hilary from business and Kaplan Eric from RI IT operations</t>
  </si>
  <si>
    <t>1 week effort/1 Month elapsed</t>
  </si>
  <si>
    <t>Rajasekaran, Ponmurugavel &lt;Ponmurugavel.Rajasekaran@aig.com&gt;; Mayer, Kenneth E &lt;Kenneth.Mayer@aig.com&gt;</t>
  </si>
  <si>
    <t>Quarterly data</t>
  </si>
  <si>
    <t>yes - no release therefore no ACAND</t>
  </si>
  <si>
    <t>Jarome Choi</t>
  </si>
  <si>
    <t>div 72</t>
  </si>
  <si>
    <t>div</t>
  </si>
  <si>
    <t>regression</t>
  </si>
  <si>
    <t>Shao, Yi (Kelly)</t>
  </si>
  <si>
    <t>no testing required</t>
  </si>
  <si>
    <t>Moku Yashwanth</t>
  </si>
  <si>
    <t>Tracy Terry and Brian Riconda</t>
  </si>
  <si>
    <t>ASCO 40 Marbleshore Speciaty Insurance Co is equal to WWCC 3911</t>
  </si>
  <si>
    <t>Reyes, Francis &lt;Francis.Reyes1@aig.com&gt;; Acahen, Maylene &lt;Maylene.Acahen@aig.com&gt;; Muncal, Melvin &lt;Melvin.Muncal@aig.com&gt;</t>
  </si>
  <si>
    <t>QA team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</si>
</sst>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1"/>
      <color rgb="FF000000"/>
      <name val="Aptos Narrow"/>
      <charset val="1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sz val="11"/>
      <color theme="1"/>
      <name val="Calibri"/>
    </font>
  </fonts>
  <fills count="1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76">
    <xf numFmtId="0" fontId="0" fillId="0" borderId="0" xfId="0"/>
    <xf numFmtId="0" fontId="0" fillId="2" borderId="0" xfId="0" applyFill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1" fillId="3" borderId="0" xfId="0" applyFont="1" applyFill="1"/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0" fontId="2" fillId="0" borderId="2" xfId="0" applyFont="1" applyBorder="1"/>
    <xf numFmtId="0" fontId="4" fillId="9" borderId="5" xfId="0" applyFont="1" applyFill="1" applyBorder="1" applyAlignment="1">
      <alignment horizontal="center"/>
    </xf>
    <xf numFmtId="0" fontId="2" fillId="0" borderId="6" xfId="0" applyFont="1" applyBorder="1" applyAlignment="1">
      <alignment wrapText="1"/>
    </xf>
    <xf numFmtId="0" fontId="2" fillId="11" borderId="1" xfId="0" applyFont="1" applyFill="1" applyBorder="1"/>
    <xf numFmtId="0" fontId="4" fillId="12" borderId="1" xfId="0" applyFont="1" applyFill="1" applyBorder="1"/>
    <xf numFmtId="0" fontId="4" fillId="9" borderId="1" xfId="0" applyFont="1" applyFill="1" applyBorder="1"/>
    <xf numFmtId="0" fontId="4" fillId="12" borderId="1" xfId="0" applyFont="1" applyFill="1" applyBorder="1" applyAlignment="1">
      <alignment wrapText="1"/>
    </xf>
    <xf numFmtId="0" fontId="2" fillId="12" borderId="1" xfId="0" applyFont="1" applyFill="1" applyBorder="1"/>
    <xf numFmtId="16" fontId="5" fillId="13" borderId="6" xfId="2" applyNumberFormat="1" applyFill="1" applyBorder="1" applyAlignment="1">
      <alignment horizontal="center" vertical="top" textRotation="90"/>
    </xf>
    <xf numFmtId="16" fontId="5" fillId="13" borderId="1" xfId="2" applyNumberFormat="1" applyFill="1" applyBorder="1" applyAlignment="1">
      <alignment horizontal="center" vertical="top" textRotation="90"/>
    </xf>
    <xf numFmtId="0" fontId="4" fillId="14" borderId="1" xfId="0" applyFont="1" applyFill="1" applyBorder="1"/>
    <xf numFmtId="0" fontId="4" fillId="14" borderId="1" xfId="0" applyFont="1" applyFill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0" fontId="6" fillId="0" borderId="1" xfId="0" applyFont="1" applyBorder="1"/>
    <xf numFmtId="0" fontId="2" fillId="15" borderId="1" xfId="0" applyFont="1" applyFill="1" applyBorder="1"/>
    <xf numFmtId="0" fontId="7" fillId="4" borderId="1" xfId="0" applyFont="1" applyFill="1" applyBorder="1"/>
    <xf numFmtId="0" fontId="7" fillId="16" borderId="1" xfId="0" applyFont="1" applyFill="1" applyBorder="1"/>
    <xf numFmtId="0" fontId="2" fillId="16" borderId="1" xfId="0" applyFont="1" applyFill="1" applyBorder="1"/>
    <xf numFmtId="0" fontId="2" fillId="4" borderId="1" xfId="0" applyFont="1" applyFill="1" applyBorder="1"/>
    <xf numFmtId="0" fontId="8" fillId="11" borderId="1" xfId="0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/>
    <xf numFmtId="0" fontId="0" fillId="4" borderId="0" xfId="0" applyFill="1"/>
    <xf numFmtId="16" fontId="4" fillId="14" borderId="1" xfId="0" applyNumberFormat="1" applyFont="1" applyFill="1" applyBorder="1" applyAlignment="1">
      <alignment horizontal="center"/>
    </xf>
    <xf numFmtId="1" fontId="4" fillId="14" borderId="1" xfId="0" applyNumberFormat="1" applyFont="1" applyFill="1" applyBorder="1" applyAlignment="1">
      <alignment horizontal="center" wrapText="1"/>
    </xf>
    <xf numFmtId="0" fontId="0" fillId="15" borderId="1" xfId="0" applyFill="1" applyBorder="1"/>
    <xf numFmtId="0" fontId="0" fillId="11" borderId="1" xfId="0" applyFill="1" applyBorder="1"/>
    <xf numFmtId="0" fontId="0" fillId="16" borderId="1" xfId="0" applyFill="1" applyBorder="1"/>
    <xf numFmtId="0" fontId="6" fillId="0" borderId="0" xfId="0" applyFont="1"/>
    <xf numFmtId="0" fontId="2" fillId="14" borderId="1" xfId="0" applyFont="1" applyFill="1" applyBorder="1"/>
    <xf numFmtId="16" fontId="2" fillId="14" borderId="1" xfId="0" applyNumberFormat="1" applyFont="1" applyFill="1" applyBorder="1" applyAlignment="1">
      <alignment horizontal="center"/>
    </xf>
    <xf numFmtId="16" fontId="2" fillId="17" borderId="1" xfId="0" applyNumberFormat="1" applyFont="1" applyFill="1" applyBorder="1" applyAlignment="1">
      <alignment horizontal="center"/>
    </xf>
    <xf numFmtId="16" fontId="2" fillId="16" borderId="1" xfId="0" applyNumberFormat="1" applyFont="1" applyFill="1" applyBorder="1" applyAlignment="1">
      <alignment horizontal="center"/>
    </xf>
    <xf numFmtId="0" fontId="11" fillId="0" borderId="0" xfId="0" applyFont="1"/>
    <xf numFmtId="14" fontId="0" fillId="0" borderId="0" xfId="0" applyNumberFormat="1"/>
    <xf numFmtId="0" fontId="12" fillId="7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3" fillId="10" borderId="1" xfId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3" fillId="10" borderId="2" xfId="1" applyFont="1" applyFill="1" applyBorder="1" applyAlignment="1">
      <alignment horizontal="center" vertical="center"/>
    </xf>
    <xf numFmtId="0" fontId="3" fillId="10" borderId="7" xfId="1" applyFont="1" applyFill="1" applyBorder="1" applyAlignment="1">
      <alignment horizontal="center" vertical="center"/>
    </xf>
    <xf numFmtId="0" fontId="3" fillId="10" borderId="6" xfId="1" applyFont="1" applyFill="1" applyBorder="1" applyAlignment="1">
      <alignment horizontal="center" vertical="center"/>
    </xf>
  </cellXfs>
  <cellStyles count="3">
    <cellStyle name="Normal" xfId="0" builtinId="0"/>
    <cellStyle name="Normal 2 2 2" xfId="2" xr:uid="{94198A77-FA03-41B4-A8F4-216EA31A9AED}"/>
    <cellStyle name="Normal 3 2 2" xfId="1" xr:uid="{12DDDD60-2B53-4EA1-ADA1-2FDFA870F0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494705</xdr:colOff>
      <xdr:row>13</xdr:row>
      <xdr:rowOff>158431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125008-2E3C-F9D2-2989-24F8F2803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61905" cy="25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0569-1BC3-430A-9CCE-3AE351E3E9DC}">
  <dimension ref="A1:Q22"/>
  <sheetViews>
    <sheetView zoomScale="75" zoomScaleNormal="75" workbookViewId="0">
      <pane ySplit="1" topLeftCell="A7" activePane="bottomLeft" state="frozen"/>
      <selection pane="bottomLeft" activeCell="O18" sqref="O18"/>
    </sheetView>
  </sheetViews>
  <sheetFormatPr defaultRowHeight="14.5" x14ac:dyDescent="0.35"/>
  <cols>
    <col min="2" max="2" width="2.1796875" customWidth="1"/>
    <col min="3" max="3" width="12.1796875" customWidth="1"/>
    <col min="4" max="4" width="1.81640625" style="1" customWidth="1"/>
    <col min="6" max="6" width="3.453125" customWidth="1"/>
    <col min="7" max="7" width="8.7265625" customWidth="1"/>
    <col min="8" max="8" width="2.7265625" customWidth="1"/>
    <col min="9" max="9" width="11.1796875" customWidth="1"/>
    <col min="10" max="10" width="2.7265625" customWidth="1"/>
    <col min="11" max="11" width="13.1796875" customWidth="1"/>
    <col min="12" max="12" width="2.453125" customWidth="1"/>
    <col min="13" max="13" width="13.453125" customWidth="1"/>
    <col min="14" max="14" width="2.54296875" customWidth="1"/>
    <col min="15" max="15" width="10.1796875" customWidth="1"/>
    <col min="16" max="16" width="2.453125" customWidth="1"/>
    <col min="17" max="17" width="10.54296875" customWidth="1"/>
  </cols>
  <sheetData>
    <row r="1" spans="1:17" x14ac:dyDescent="0.35">
      <c r="C1" s="14" t="s">
        <v>0</v>
      </c>
      <c r="E1" s="69" t="s">
        <v>1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</row>
    <row r="3" spans="1:17" ht="43.5" x14ac:dyDescent="0.35">
      <c r="A3" s="9" t="s">
        <v>2</v>
      </c>
      <c r="C3" s="4" t="s">
        <v>3</v>
      </c>
      <c r="E3" s="3" t="s">
        <v>4</v>
      </c>
      <c r="G3" s="2" t="s">
        <v>5</v>
      </c>
      <c r="I3" s="8" t="s">
        <v>6</v>
      </c>
      <c r="K3" s="18" t="s">
        <v>7</v>
      </c>
      <c r="M3" s="8" t="s">
        <v>8</v>
      </c>
      <c r="N3" s="7"/>
      <c r="O3" s="8" t="s">
        <v>9</v>
      </c>
      <c r="P3" s="7"/>
      <c r="Q3" s="8" t="s">
        <v>10</v>
      </c>
    </row>
    <row r="4" spans="1:17" x14ac:dyDescent="0.35">
      <c r="A4" s="6"/>
    </row>
    <row r="5" spans="1:17" ht="28.5" customHeight="1" x14ac:dyDescent="0.35">
      <c r="A5" s="6"/>
      <c r="K5" s="15"/>
      <c r="M5" s="18" t="s">
        <v>11</v>
      </c>
    </row>
    <row r="6" spans="1:17" x14ac:dyDescent="0.35">
      <c r="A6" s="6"/>
      <c r="K6" s="15"/>
      <c r="M6" s="6"/>
    </row>
    <row r="7" spans="1:17" ht="34" customHeight="1" x14ac:dyDescent="0.35">
      <c r="A7" s="6"/>
      <c r="K7" s="15"/>
      <c r="M7" s="8" t="s">
        <v>12</v>
      </c>
    </row>
    <row r="8" spans="1:17" ht="14.15" customHeight="1" x14ac:dyDescent="0.35">
      <c r="A8" s="6"/>
      <c r="K8" s="15"/>
      <c r="M8" s="6"/>
    </row>
    <row r="9" spans="1:17" ht="29" x14ac:dyDescent="0.35">
      <c r="A9" s="6"/>
      <c r="M9" s="16" t="s">
        <v>13</v>
      </c>
      <c r="Q9" s="6"/>
    </row>
    <row r="10" spans="1:17" x14ac:dyDescent="0.35">
      <c r="A10" s="6"/>
      <c r="Q10" s="6"/>
    </row>
    <row r="11" spans="1:17" ht="6.65" customHeight="1" x14ac:dyDescent="0.3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2"/>
    </row>
    <row r="12" spans="1:17" x14ac:dyDescent="0.35">
      <c r="A12" s="6"/>
    </row>
    <row r="13" spans="1:17" ht="46.5" customHeight="1" x14ac:dyDescent="0.35">
      <c r="A13" s="9" t="s">
        <v>14</v>
      </c>
      <c r="C13" s="4" t="s">
        <v>15</v>
      </c>
      <c r="E13" s="2" t="s">
        <v>16</v>
      </c>
      <c r="K13" s="8" t="s">
        <v>7</v>
      </c>
      <c r="M13" s="8" t="s">
        <v>8</v>
      </c>
      <c r="N13" s="7"/>
      <c r="O13" s="8" t="s">
        <v>9</v>
      </c>
      <c r="P13" s="7"/>
      <c r="Q13" s="8" t="s">
        <v>10</v>
      </c>
    </row>
    <row r="14" spans="1:17" x14ac:dyDescent="0.35">
      <c r="A14" s="6"/>
      <c r="C14" s="10"/>
      <c r="E14" s="11"/>
      <c r="K14" s="6"/>
      <c r="M14" s="5"/>
      <c r="O14" s="5"/>
      <c r="Q14" s="5"/>
    </row>
    <row r="15" spans="1:17" ht="29" x14ac:dyDescent="0.35">
      <c r="A15" s="6"/>
      <c r="M15" s="2" t="s">
        <v>13</v>
      </c>
    </row>
    <row r="16" spans="1:17" ht="5.5" customHeight="1" x14ac:dyDescent="0.3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2"/>
    </row>
    <row r="17" spans="1:17" x14ac:dyDescent="0.35">
      <c r="A17" s="6"/>
    </row>
    <row r="18" spans="1:17" ht="61" customHeight="1" x14ac:dyDescent="0.35">
      <c r="A18" s="9" t="s">
        <v>17</v>
      </c>
      <c r="C18" s="4" t="s">
        <v>18</v>
      </c>
      <c r="E18" s="3" t="s">
        <v>19</v>
      </c>
      <c r="F18" s="5"/>
      <c r="G18" s="5"/>
      <c r="H18" s="5"/>
      <c r="I18" s="5"/>
      <c r="J18" s="5"/>
      <c r="K18" s="5"/>
      <c r="L18" s="5"/>
      <c r="M18" s="8" t="s">
        <v>20</v>
      </c>
      <c r="N18" s="7"/>
      <c r="O18" s="17" t="s">
        <v>21</v>
      </c>
      <c r="Q18" s="5"/>
    </row>
    <row r="20" spans="1:17" ht="24" customHeight="1" x14ac:dyDescent="0.35">
      <c r="E20" t="s">
        <v>22</v>
      </c>
      <c r="M20" s="8" t="s">
        <v>23</v>
      </c>
    </row>
    <row r="22" spans="1:17" x14ac:dyDescent="0.35">
      <c r="M22" s="8" t="s">
        <v>145</v>
      </c>
    </row>
  </sheetData>
  <mergeCells count="1">
    <mergeCell ref="E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93ED-8F85-499E-A244-D60A32CDB965}">
  <dimension ref="A17:A27"/>
  <sheetViews>
    <sheetView tabSelected="1" zoomScale="128" workbookViewId="0">
      <selection activeCell="A17" sqref="A17"/>
    </sheetView>
  </sheetViews>
  <sheetFormatPr defaultRowHeight="14.5" x14ac:dyDescent="0.35"/>
  <sheetData>
    <row r="17" spans="1:1" x14ac:dyDescent="0.35">
      <c r="A17" t="s">
        <v>24</v>
      </c>
    </row>
    <row r="27" spans="1:1" ht="12.65" customHeight="1" x14ac:dyDescent="0.3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23F2-E4CD-4BA4-8B38-038FB15753CD}">
  <dimension ref="A1:L18"/>
  <sheetViews>
    <sheetView workbookViewId="0">
      <pane ySplit="1" topLeftCell="A2" activePane="bottomLeft" state="frozen"/>
      <selection pane="bottomLeft" activeCell="L2" sqref="L2:L18"/>
    </sheetView>
  </sheetViews>
  <sheetFormatPr defaultRowHeight="14.5" x14ac:dyDescent="0.35"/>
  <cols>
    <col min="1" max="1" width="3.26953125" style="60" bestFit="1" customWidth="1"/>
    <col min="2" max="2" width="8.7265625" style="60"/>
    <col min="3" max="3" width="24.1796875" style="60" customWidth="1"/>
    <col min="4" max="4" width="21.81640625" style="60" customWidth="1"/>
    <col min="5" max="5" width="17" style="60" customWidth="1"/>
    <col min="6" max="7" width="15" style="60" customWidth="1"/>
    <col min="8" max="8" width="11.54296875" style="60" customWidth="1"/>
    <col min="9" max="9" width="18.54296875" style="60" customWidth="1"/>
    <col min="10" max="10" width="18.54296875" style="60" bestFit="1" customWidth="1"/>
    <col min="11" max="11" width="36.26953125" style="60" customWidth="1"/>
    <col min="12" max="12" width="13.54296875" style="60" customWidth="1"/>
    <col min="13" max="16384" width="8.7265625" style="60"/>
  </cols>
  <sheetData>
    <row r="1" spans="1:12" ht="43.5" x14ac:dyDescent="0.35">
      <c r="A1" s="59" t="s">
        <v>25</v>
      </c>
      <c r="B1" s="59" t="s">
        <v>26</v>
      </c>
      <c r="C1" s="59" t="s">
        <v>27</v>
      </c>
      <c r="D1" s="59" t="s">
        <v>28</v>
      </c>
      <c r="E1" s="59" t="s">
        <v>113</v>
      </c>
      <c r="F1" s="59" t="s">
        <v>29</v>
      </c>
      <c r="G1" s="59" t="s">
        <v>30</v>
      </c>
      <c r="H1" s="59" t="s">
        <v>31</v>
      </c>
      <c r="I1" s="59" t="s">
        <v>32</v>
      </c>
      <c r="J1" s="59" t="s">
        <v>112</v>
      </c>
      <c r="K1" s="59" t="s">
        <v>114</v>
      </c>
      <c r="L1" s="59" t="s">
        <v>175</v>
      </c>
    </row>
    <row r="2" spans="1:12" ht="87" x14ac:dyDescent="0.35">
      <c r="A2" s="62">
        <v>1</v>
      </c>
      <c r="B2" s="62">
        <v>7270</v>
      </c>
      <c r="C2" s="62" t="s">
        <v>4</v>
      </c>
      <c r="D2" s="61" t="s">
        <v>33</v>
      </c>
      <c r="E2" s="62" t="s">
        <v>125</v>
      </c>
      <c r="F2" s="62" t="s">
        <v>45</v>
      </c>
      <c r="G2" s="62" t="s">
        <v>45</v>
      </c>
      <c r="H2" s="62" t="s">
        <v>45</v>
      </c>
      <c r="I2" s="62" t="s">
        <v>148</v>
      </c>
      <c r="J2" s="61" t="s">
        <v>45</v>
      </c>
      <c r="K2" s="62" t="s">
        <v>149</v>
      </c>
      <c r="L2" s="68"/>
    </row>
    <row r="3" spans="1:12" ht="87" x14ac:dyDescent="0.35">
      <c r="A3" s="62">
        <v>2</v>
      </c>
      <c r="B3" s="62">
        <v>7347</v>
      </c>
      <c r="C3" s="62" t="s">
        <v>5</v>
      </c>
      <c r="D3" s="61" t="s">
        <v>34</v>
      </c>
      <c r="E3" s="62" t="s">
        <v>125</v>
      </c>
      <c r="F3" s="62" t="s">
        <v>25</v>
      </c>
      <c r="G3" s="62" t="s">
        <v>45</v>
      </c>
      <c r="H3" s="62" t="s">
        <v>45</v>
      </c>
      <c r="I3" s="62" t="s">
        <v>148</v>
      </c>
      <c r="J3" s="61" t="s">
        <v>45</v>
      </c>
      <c r="K3" s="62" t="s">
        <v>149</v>
      </c>
      <c r="L3" s="68"/>
    </row>
    <row r="4" spans="1:12" ht="29" x14ac:dyDescent="0.35">
      <c r="A4" s="62">
        <v>3</v>
      </c>
      <c r="B4" s="62">
        <v>7223</v>
      </c>
      <c r="C4" s="62" t="s">
        <v>35</v>
      </c>
      <c r="D4" s="61" t="s">
        <v>36</v>
      </c>
      <c r="E4" s="62" t="s">
        <v>141</v>
      </c>
      <c r="F4" s="62" t="s">
        <v>25</v>
      </c>
      <c r="G4" s="62" t="s">
        <v>45</v>
      </c>
      <c r="H4" s="62" t="s">
        <v>45</v>
      </c>
      <c r="I4" s="62" t="s">
        <v>141</v>
      </c>
      <c r="J4" s="61" t="s">
        <v>164</v>
      </c>
      <c r="K4" s="62" t="s">
        <v>165</v>
      </c>
      <c r="L4" s="68"/>
    </row>
    <row r="5" spans="1:12" ht="30" customHeight="1" x14ac:dyDescent="0.35">
      <c r="A5" s="62">
        <v>4</v>
      </c>
      <c r="B5" s="62">
        <v>1945</v>
      </c>
      <c r="C5" s="62" t="s">
        <v>6</v>
      </c>
      <c r="D5" s="61" t="s">
        <v>37</v>
      </c>
      <c r="E5" s="62" t="s">
        <v>161</v>
      </c>
      <c r="F5" s="62" t="s">
        <v>142</v>
      </c>
      <c r="G5" s="62" t="s">
        <v>142</v>
      </c>
      <c r="H5" s="62" t="s">
        <v>142</v>
      </c>
      <c r="I5" s="62" t="s">
        <v>134</v>
      </c>
      <c r="J5" s="61" t="s">
        <v>142</v>
      </c>
      <c r="K5" s="62" t="s">
        <v>143</v>
      </c>
      <c r="L5" s="68"/>
    </row>
    <row r="6" spans="1:12" ht="29" x14ac:dyDescent="0.35">
      <c r="A6" s="62">
        <v>5</v>
      </c>
      <c r="B6" s="62">
        <v>1934</v>
      </c>
      <c r="C6" s="62" t="s">
        <v>7</v>
      </c>
      <c r="D6" s="61" t="s">
        <v>37</v>
      </c>
      <c r="E6" s="63" t="s">
        <v>161</v>
      </c>
      <c r="F6" s="62" t="s">
        <v>142</v>
      </c>
      <c r="G6" s="62" t="s">
        <v>142</v>
      </c>
      <c r="H6" s="62" t="s">
        <v>142</v>
      </c>
      <c r="I6" s="62" t="s">
        <v>134</v>
      </c>
      <c r="J6" s="61" t="s">
        <v>142</v>
      </c>
      <c r="K6" s="62" t="s">
        <v>143</v>
      </c>
      <c r="L6" s="68"/>
    </row>
    <row r="7" spans="1:12" x14ac:dyDescent="0.35">
      <c r="A7" s="62">
        <v>6</v>
      </c>
      <c r="B7" s="62">
        <v>2521</v>
      </c>
      <c r="C7" s="62" t="s">
        <v>19</v>
      </c>
      <c r="D7" s="61" t="s">
        <v>46</v>
      </c>
      <c r="E7" s="62" t="s">
        <v>139</v>
      </c>
      <c r="F7" s="62" t="s">
        <v>45</v>
      </c>
      <c r="G7" s="62" t="s">
        <v>45</v>
      </c>
      <c r="H7" s="62" t="s">
        <v>45</v>
      </c>
      <c r="I7" s="62" t="s">
        <v>127</v>
      </c>
      <c r="J7" s="61" t="s">
        <v>122</v>
      </c>
      <c r="K7" s="62" t="s">
        <v>138</v>
      </c>
      <c r="L7" s="68"/>
    </row>
    <row r="8" spans="1:12" ht="28" customHeight="1" x14ac:dyDescent="0.35">
      <c r="A8" s="62">
        <v>7</v>
      </c>
      <c r="B8" s="62">
        <v>6446</v>
      </c>
      <c r="C8" s="62" t="s">
        <v>135</v>
      </c>
      <c r="D8" s="62" t="s">
        <v>110</v>
      </c>
      <c r="E8" s="62" t="s">
        <v>141</v>
      </c>
      <c r="F8" s="62" t="s">
        <v>25</v>
      </c>
      <c r="G8" s="62" t="s">
        <v>25</v>
      </c>
      <c r="H8" s="62" t="s">
        <v>25</v>
      </c>
      <c r="I8" s="62" t="s">
        <v>25</v>
      </c>
      <c r="J8" s="64" t="s">
        <v>134</v>
      </c>
      <c r="K8" s="62" t="s">
        <v>172</v>
      </c>
      <c r="L8" s="68"/>
    </row>
    <row r="9" spans="1:12" ht="29" x14ac:dyDescent="0.35">
      <c r="A9" s="62">
        <v>8</v>
      </c>
      <c r="B9" s="62">
        <v>7450</v>
      </c>
      <c r="C9" s="62" t="s">
        <v>117</v>
      </c>
      <c r="D9" s="65" t="s">
        <v>118</v>
      </c>
      <c r="E9" s="62" t="s">
        <v>141</v>
      </c>
      <c r="F9" s="62" t="s">
        <v>25</v>
      </c>
      <c r="G9" s="62" t="s">
        <v>168</v>
      </c>
      <c r="H9" s="62" t="s">
        <v>25</v>
      </c>
      <c r="I9" s="62" t="s">
        <v>25</v>
      </c>
      <c r="J9" s="61" t="s">
        <v>134</v>
      </c>
      <c r="K9" s="62" t="s">
        <v>171</v>
      </c>
      <c r="L9" s="68"/>
    </row>
    <row r="10" spans="1:12" ht="43.5" x14ac:dyDescent="0.35">
      <c r="A10" s="62">
        <v>9</v>
      </c>
      <c r="B10" s="62" t="s">
        <v>124</v>
      </c>
      <c r="C10" s="62" t="s">
        <v>123</v>
      </c>
      <c r="D10" s="61" t="s">
        <v>39</v>
      </c>
      <c r="E10" s="62" t="s">
        <v>125</v>
      </c>
      <c r="F10" s="62" t="s">
        <v>25</v>
      </c>
      <c r="G10" s="62" t="s">
        <v>45</v>
      </c>
      <c r="H10" s="62" t="s">
        <v>25</v>
      </c>
      <c r="I10" s="62" t="s">
        <v>126</v>
      </c>
      <c r="J10" s="61" t="s">
        <v>127</v>
      </c>
      <c r="K10" s="62" t="s">
        <v>172</v>
      </c>
      <c r="L10" s="68"/>
    </row>
    <row r="11" spans="1:12" ht="29" x14ac:dyDescent="0.35">
      <c r="A11" s="62">
        <v>10</v>
      </c>
      <c r="B11" s="62">
        <v>1524</v>
      </c>
      <c r="C11" s="62" t="s">
        <v>10</v>
      </c>
      <c r="D11" s="61" t="s">
        <v>38</v>
      </c>
      <c r="E11" s="62" t="s">
        <v>125</v>
      </c>
      <c r="F11" s="62" t="s">
        <v>25</v>
      </c>
      <c r="G11" s="62" t="s">
        <v>45</v>
      </c>
      <c r="H11" s="62" t="s">
        <v>25</v>
      </c>
      <c r="I11" s="62" t="s">
        <v>9</v>
      </c>
      <c r="J11" s="61" t="s">
        <v>127</v>
      </c>
      <c r="K11" s="62" t="s">
        <v>172</v>
      </c>
      <c r="L11" s="68"/>
    </row>
    <row r="12" spans="1:12" x14ac:dyDescent="0.35">
      <c r="A12" s="62">
        <v>11</v>
      </c>
      <c r="B12" s="62">
        <v>4867</v>
      </c>
      <c r="C12" s="62" t="s">
        <v>40</v>
      </c>
      <c r="D12" s="61" t="s">
        <v>41</v>
      </c>
      <c r="E12" s="62" t="s">
        <v>141</v>
      </c>
      <c r="F12" s="62" t="s">
        <v>25</v>
      </c>
      <c r="G12" s="62" t="s">
        <v>168</v>
      </c>
      <c r="H12" s="62" t="s">
        <v>25</v>
      </c>
      <c r="I12" s="62" t="s">
        <v>141</v>
      </c>
      <c r="J12" s="61" t="s">
        <v>134</v>
      </c>
      <c r="K12" s="62" t="s">
        <v>169</v>
      </c>
      <c r="L12" s="68"/>
    </row>
    <row r="13" spans="1:12" ht="246.5" x14ac:dyDescent="0.35">
      <c r="A13" s="62">
        <v>12</v>
      </c>
      <c r="B13" s="62">
        <v>1525</v>
      </c>
      <c r="C13" s="62" t="s">
        <v>109</v>
      </c>
      <c r="D13" s="61" t="s">
        <v>147</v>
      </c>
      <c r="E13" s="62" t="s">
        <v>125</v>
      </c>
      <c r="F13" s="62" t="s">
        <v>142</v>
      </c>
      <c r="G13" s="62" t="s">
        <v>142</v>
      </c>
      <c r="H13" s="65" t="s">
        <v>45</v>
      </c>
      <c r="I13" s="62" t="s">
        <v>151</v>
      </c>
      <c r="J13" s="61" t="s">
        <v>127</v>
      </c>
      <c r="K13" s="62" t="s">
        <v>150</v>
      </c>
      <c r="L13" s="62" t="s">
        <v>174</v>
      </c>
    </row>
    <row r="14" spans="1:12" x14ac:dyDescent="0.35">
      <c r="A14" s="62">
        <v>13</v>
      </c>
      <c r="B14" s="62">
        <v>1604</v>
      </c>
      <c r="C14" s="62" t="s">
        <v>107</v>
      </c>
      <c r="D14" s="61" t="s">
        <v>108</v>
      </c>
      <c r="E14" s="67"/>
      <c r="F14" s="62"/>
      <c r="G14" s="62"/>
      <c r="H14" s="62"/>
      <c r="I14" s="62"/>
      <c r="J14" s="61"/>
      <c r="K14" s="62"/>
      <c r="L14" s="68"/>
    </row>
    <row r="15" spans="1:12" ht="72.5" x14ac:dyDescent="0.35">
      <c r="A15" s="62">
        <v>14</v>
      </c>
      <c r="B15" s="62">
        <v>6493</v>
      </c>
      <c r="C15" s="62" t="s">
        <v>20</v>
      </c>
      <c r="D15" s="62" t="s">
        <v>119</v>
      </c>
      <c r="E15" s="62" t="s">
        <v>158</v>
      </c>
      <c r="F15" s="62" t="s">
        <v>157</v>
      </c>
      <c r="G15" s="62" t="s">
        <v>142</v>
      </c>
      <c r="H15" s="62" t="s">
        <v>157</v>
      </c>
      <c r="I15" s="62" t="s">
        <v>159</v>
      </c>
      <c r="J15" s="61" t="s">
        <v>127</v>
      </c>
      <c r="K15" s="62" t="s">
        <v>160</v>
      </c>
      <c r="L15" s="68"/>
    </row>
    <row r="16" spans="1:12" ht="58" x14ac:dyDescent="0.35">
      <c r="A16" s="62">
        <v>15</v>
      </c>
      <c r="B16" s="62">
        <v>1510</v>
      </c>
      <c r="C16" s="62" t="s">
        <v>121</v>
      </c>
      <c r="D16" s="62" t="s">
        <v>120</v>
      </c>
      <c r="E16" s="66" t="s">
        <v>158</v>
      </c>
      <c r="F16" s="62" t="s">
        <v>157</v>
      </c>
      <c r="G16" s="62" t="s">
        <v>142</v>
      </c>
      <c r="H16" s="62" t="s">
        <v>157</v>
      </c>
      <c r="I16" s="62" t="s">
        <v>163</v>
      </c>
      <c r="J16" s="61" t="s">
        <v>142</v>
      </c>
      <c r="K16" s="62" t="s">
        <v>162</v>
      </c>
      <c r="L16" s="68"/>
    </row>
    <row r="17" spans="1:12" x14ac:dyDescent="0.35">
      <c r="A17" s="62">
        <v>16</v>
      </c>
      <c r="B17" s="62">
        <v>3770</v>
      </c>
      <c r="C17" s="62" t="s">
        <v>42</v>
      </c>
      <c r="D17" s="61" t="s">
        <v>43</v>
      </c>
      <c r="E17" s="62" t="s">
        <v>44</v>
      </c>
      <c r="F17" s="62" t="s">
        <v>45</v>
      </c>
      <c r="G17" s="62" t="s">
        <v>45</v>
      </c>
      <c r="H17" s="62"/>
      <c r="I17" s="62" t="s">
        <v>25</v>
      </c>
      <c r="J17" s="61"/>
      <c r="K17" s="62" t="s">
        <v>144</v>
      </c>
      <c r="L17" s="68"/>
    </row>
    <row r="18" spans="1:12" x14ac:dyDescent="0.35">
      <c r="A18" s="62">
        <v>17</v>
      </c>
      <c r="B18" s="62"/>
      <c r="C18" s="62" t="s">
        <v>111</v>
      </c>
      <c r="D18" s="62" t="s">
        <v>115</v>
      </c>
      <c r="E18" s="62" t="s">
        <v>170</v>
      </c>
      <c r="F18" s="62"/>
      <c r="G18" s="62"/>
      <c r="H18" s="62"/>
      <c r="I18" s="62"/>
      <c r="J18" s="61"/>
      <c r="K18" s="62"/>
      <c r="L18" s="68"/>
    </row>
  </sheetData>
  <autoFilter ref="A1:K18" xr:uid="{3D5423F2-E4CD-4BA4-8B38-038FB15753C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3290-DA60-48B4-BB2B-4AEA556DFA7A}">
  <dimension ref="B2:I18"/>
  <sheetViews>
    <sheetView workbookViewId="0">
      <selection activeCell="B18" sqref="B18"/>
    </sheetView>
  </sheetViews>
  <sheetFormatPr defaultRowHeight="14.5" x14ac:dyDescent="0.35"/>
  <cols>
    <col min="2" max="2" width="57" bestFit="1" customWidth="1"/>
    <col min="7" max="7" width="10.90625" bestFit="1" customWidth="1"/>
  </cols>
  <sheetData>
    <row r="2" spans="2:9" x14ac:dyDescent="0.35">
      <c r="B2" s="57" t="s">
        <v>173</v>
      </c>
    </row>
    <row r="4" spans="2:9" x14ac:dyDescent="0.35">
      <c r="F4" t="s">
        <v>152</v>
      </c>
      <c r="G4" t="s">
        <v>153</v>
      </c>
      <c r="H4" t="s">
        <v>154</v>
      </c>
      <c r="I4" t="s">
        <v>167</v>
      </c>
    </row>
    <row r="5" spans="2:9" x14ac:dyDescent="0.35">
      <c r="B5" t="s">
        <v>116</v>
      </c>
      <c r="F5">
        <v>123</v>
      </c>
      <c r="G5" t="s">
        <v>155</v>
      </c>
      <c r="H5" s="58">
        <v>46083</v>
      </c>
      <c r="I5">
        <v>72</v>
      </c>
    </row>
    <row r="6" spans="2:9" x14ac:dyDescent="0.35">
      <c r="F6">
        <v>123</v>
      </c>
      <c r="G6" t="s">
        <v>156</v>
      </c>
      <c r="H6" s="58">
        <v>46448</v>
      </c>
      <c r="I6">
        <v>72</v>
      </c>
    </row>
    <row r="7" spans="2:9" x14ac:dyDescent="0.35">
      <c r="B7" t="s">
        <v>133</v>
      </c>
    </row>
    <row r="8" spans="2:9" x14ac:dyDescent="0.35">
      <c r="B8" t="s">
        <v>128</v>
      </c>
    </row>
    <row r="9" spans="2:9" x14ac:dyDescent="0.35">
      <c r="B9" t="s">
        <v>129</v>
      </c>
    </row>
    <row r="10" spans="2:9" x14ac:dyDescent="0.35">
      <c r="B10" t="s">
        <v>130</v>
      </c>
    </row>
    <row r="11" spans="2:9" x14ac:dyDescent="0.35">
      <c r="B11" t="s">
        <v>131</v>
      </c>
    </row>
    <row r="12" spans="2:9" x14ac:dyDescent="0.35">
      <c r="B12" t="s">
        <v>132</v>
      </c>
    </row>
    <row r="14" spans="2:9" x14ac:dyDescent="0.35">
      <c r="B14" t="s">
        <v>136</v>
      </c>
    </row>
    <row r="15" spans="2:9" x14ac:dyDescent="0.35">
      <c r="B15" t="s">
        <v>146</v>
      </c>
      <c r="C15" t="s">
        <v>166</v>
      </c>
    </row>
    <row r="16" spans="2:9" x14ac:dyDescent="0.35">
      <c r="B16" t="s">
        <v>137</v>
      </c>
    </row>
    <row r="18" spans="2:2" x14ac:dyDescent="0.35">
      <c r="B18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76F1-C7D2-4766-9E7D-F6CF80FB53D4}">
  <dimension ref="A1:BA27"/>
  <sheetViews>
    <sheetView workbookViewId="0">
      <pane ySplit="3" topLeftCell="A15" activePane="bottomLeft" state="frozen"/>
      <selection pane="bottomLeft" activeCell="A17" sqref="A17"/>
    </sheetView>
  </sheetViews>
  <sheetFormatPr defaultRowHeight="14.5" x14ac:dyDescent="0.35"/>
  <cols>
    <col min="1" max="1" width="26.1796875" customWidth="1"/>
    <col min="2" max="2" width="9.1796875" bestFit="1" customWidth="1"/>
    <col min="4" max="4" width="5.7265625" customWidth="1"/>
    <col min="5" max="5" width="9.1796875" customWidth="1"/>
    <col min="6" max="20" width="0" hidden="1" customWidth="1"/>
    <col min="21" max="39" width="3" bestFit="1" customWidth="1"/>
    <col min="40" max="41" width="3" customWidth="1"/>
    <col min="42" max="46" width="3" bestFit="1" customWidth="1"/>
    <col min="47" max="48" width="3" customWidth="1"/>
    <col min="49" max="53" width="3" bestFit="1" customWidth="1"/>
  </cols>
  <sheetData>
    <row r="1" spans="1:53" ht="15" thickBot="1" x14ac:dyDescent="0.4">
      <c r="A1" s="20"/>
      <c r="B1" s="21"/>
      <c r="C1" s="21"/>
      <c r="D1" s="21"/>
      <c r="E1" s="22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</row>
    <row r="2" spans="1:53" x14ac:dyDescent="0.35">
      <c r="A2" s="23"/>
      <c r="B2" s="71"/>
      <c r="C2" s="72"/>
      <c r="D2" s="24"/>
      <c r="E2" s="25"/>
      <c r="F2" s="20"/>
      <c r="G2" s="73" t="s">
        <v>47</v>
      </c>
      <c r="H2" s="74"/>
      <c r="I2" s="74"/>
      <c r="J2" s="74"/>
      <c r="K2" s="75"/>
      <c r="L2" s="26"/>
      <c r="M2" s="26"/>
      <c r="N2" s="70" t="s">
        <v>48</v>
      </c>
      <c r="O2" s="70"/>
      <c r="P2" s="70"/>
      <c r="Q2" s="70"/>
      <c r="R2" s="70"/>
      <c r="S2" s="26"/>
      <c r="T2" s="26"/>
      <c r="U2" s="70" t="s">
        <v>47</v>
      </c>
      <c r="V2" s="70"/>
      <c r="W2" s="70"/>
      <c r="X2" s="70"/>
      <c r="Y2" s="70"/>
      <c r="Z2" s="26"/>
      <c r="AA2" s="26"/>
      <c r="AB2" s="70" t="s">
        <v>48</v>
      </c>
      <c r="AC2" s="70"/>
      <c r="AD2" s="70"/>
      <c r="AE2" s="70"/>
      <c r="AF2" s="70"/>
      <c r="AG2" s="26"/>
      <c r="AH2" s="26"/>
      <c r="AI2" s="70" t="s">
        <v>49</v>
      </c>
      <c r="AJ2" s="70"/>
      <c r="AK2" s="70"/>
      <c r="AL2" s="70"/>
      <c r="AM2" s="70"/>
      <c r="AN2" s="26"/>
      <c r="AO2" s="26"/>
      <c r="AP2" s="70" t="s">
        <v>50</v>
      </c>
      <c r="AQ2" s="70"/>
      <c r="AR2" s="70"/>
      <c r="AS2" s="70"/>
      <c r="AT2" s="70"/>
      <c r="AU2" s="26"/>
      <c r="AV2" s="26"/>
      <c r="AW2" s="70" t="s">
        <v>51</v>
      </c>
      <c r="AX2" s="70"/>
      <c r="AY2" s="70"/>
      <c r="AZ2" s="70"/>
      <c r="BA2" s="70"/>
    </row>
    <row r="3" spans="1:53" ht="36.5" x14ac:dyDescent="0.35">
      <c r="A3" s="27" t="s">
        <v>52</v>
      </c>
      <c r="B3" s="28" t="s">
        <v>53</v>
      </c>
      <c r="C3" s="28" t="s">
        <v>54</v>
      </c>
      <c r="D3" s="28" t="s">
        <v>55</v>
      </c>
      <c r="E3" s="29" t="s">
        <v>56</v>
      </c>
      <c r="F3" s="30" t="s">
        <v>57</v>
      </c>
      <c r="G3" s="31">
        <v>45978</v>
      </c>
      <c r="H3" s="31">
        <f>SUM(G3+1)</f>
        <v>45979</v>
      </c>
      <c r="I3" s="31">
        <f t="shared" ref="I3:N3" si="0">SUM(H3+1)</f>
        <v>45980</v>
      </c>
      <c r="J3" s="31">
        <f t="shared" si="0"/>
        <v>45981</v>
      </c>
      <c r="K3" s="31">
        <f t="shared" si="0"/>
        <v>45982</v>
      </c>
      <c r="L3" s="31">
        <f t="shared" si="0"/>
        <v>45983</v>
      </c>
      <c r="M3" s="31">
        <f t="shared" si="0"/>
        <v>45984</v>
      </c>
      <c r="N3" s="31">
        <f t="shared" si="0"/>
        <v>45985</v>
      </c>
      <c r="O3" s="32">
        <f t="shared" ref="O3:AM3" si="1">N3+1</f>
        <v>45986</v>
      </c>
      <c r="P3" s="32">
        <f t="shared" si="1"/>
        <v>45987</v>
      </c>
      <c r="Q3" s="32">
        <f t="shared" si="1"/>
        <v>45988</v>
      </c>
      <c r="R3" s="32">
        <f t="shared" si="1"/>
        <v>45989</v>
      </c>
      <c r="S3" s="32">
        <f t="shared" si="1"/>
        <v>45990</v>
      </c>
      <c r="T3" s="32">
        <f t="shared" si="1"/>
        <v>45991</v>
      </c>
      <c r="U3" s="32">
        <f t="shared" si="1"/>
        <v>45992</v>
      </c>
      <c r="V3" s="32">
        <f t="shared" si="1"/>
        <v>45993</v>
      </c>
      <c r="W3" s="32">
        <f t="shared" si="1"/>
        <v>45994</v>
      </c>
      <c r="X3" s="32">
        <f t="shared" si="1"/>
        <v>45995</v>
      </c>
      <c r="Y3" s="32">
        <f t="shared" si="1"/>
        <v>45996</v>
      </c>
      <c r="Z3" s="32">
        <f t="shared" si="1"/>
        <v>45997</v>
      </c>
      <c r="AA3" s="32">
        <f t="shared" si="1"/>
        <v>45998</v>
      </c>
      <c r="AB3" s="32">
        <f t="shared" si="1"/>
        <v>45999</v>
      </c>
      <c r="AC3" s="32">
        <f t="shared" si="1"/>
        <v>46000</v>
      </c>
      <c r="AD3" s="32">
        <f t="shared" si="1"/>
        <v>46001</v>
      </c>
      <c r="AE3" s="32">
        <f t="shared" si="1"/>
        <v>46002</v>
      </c>
      <c r="AF3" s="32">
        <f t="shared" si="1"/>
        <v>46003</v>
      </c>
      <c r="AG3" s="32">
        <f t="shared" si="1"/>
        <v>46004</v>
      </c>
      <c r="AH3" s="32">
        <f t="shared" si="1"/>
        <v>46005</v>
      </c>
      <c r="AI3" s="32">
        <f t="shared" si="1"/>
        <v>46006</v>
      </c>
      <c r="AJ3" s="32">
        <f t="shared" si="1"/>
        <v>46007</v>
      </c>
      <c r="AK3" s="32">
        <f t="shared" si="1"/>
        <v>46008</v>
      </c>
      <c r="AL3" s="32">
        <f t="shared" si="1"/>
        <v>46009</v>
      </c>
      <c r="AM3" s="32">
        <f t="shared" si="1"/>
        <v>46010</v>
      </c>
      <c r="AN3" s="32">
        <f>AM3+1</f>
        <v>46011</v>
      </c>
      <c r="AO3" s="32">
        <f t="shared" ref="AO3:AT3" si="2">AN3+1</f>
        <v>46012</v>
      </c>
      <c r="AP3" s="32">
        <f t="shared" si="2"/>
        <v>46013</v>
      </c>
      <c r="AQ3" s="32">
        <f t="shared" si="2"/>
        <v>46014</v>
      </c>
      <c r="AR3" s="32">
        <f t="shared" si="2"/>
        <v>46015</v>
      </c>
      <c r="AS3" s="32">
        <f t="shared" si="2"/>
        <v>46016</v>
      </c>
      <c r="AT3" s="32">
        <f t="shared" si="2"/>
        <v>46017</v>
      </c>
      <c r="AU3" s="32">
        <f>AT3+1</f>
        <v>46018</v>
      </c>
      <c r="AV3" s="32">
        <f t="shared" ref="AV3:BA3" si="3">AU3+1</f>
        <v>46019</v>
      </c>
      <c r="AW3" s="32">
        <f t="shared" si="3"/>
        <v>46020</v>
      </c>
      <c r="AX3" s="32">
        <f t="shared" si="3"/>
        <v>46021</v>
      </c>
      <c r="AY3" s="32">
        <f t="shared" si="3"/>
        <v>46022</v>
      </c>
      <c r="AZ3" s="32">
        <f t="shared" si="3"/>
        <v>46023</v>
      </c>
      <c r="BA3" s="32">
        <f t="shared" si="3"/>
        <v>46024</v>
      </c>
    </row>
    <row r="4" spans="1:53" x14ac:dyDescent="0.35">
      <c r="A4" s="33" t="s">
        <v>58</v>
      </c>
      <c r="B4" s="33"/>
      <c r="C4" s="33"/>
      <c r="D4" s="33"/>
      <c r="E4" s="34"/>
      <c r="F4" s="30"/>
      <c r="G4" s="31"/>
      <c r="H4" s="31"/>
      <c r="I4" s="31"/>
      <c r="J4" s="31"/>
      <c r="K4" s="31"/>
      <c r="L4" s="31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</row>
    <row r="5" spans="1:53" x14ac:dyDescent="0.35">
      <c r="A5" s="20" t="s">
        <v>59</v>
      </c>
      <c r="B5" s="35">
        <v>45992</v>
      </c>
      <c r="C5" s="35">
        <v>45993</v>
      </c>
      <c r="D5" s="35" t="s">
        <v>60</v>
      </c>
      <c r="E5" s="36">
        <v>2</v>
      </c>
      <c r="F5" s="37" t="s">
        <v>61</v>
      </c>
      <c r="G5" s="37"/>
      <c r="H5" s="37"/>
      <c r="L5" s="26"/>
      <c r="M5" s="26"/>
      <c r="N5" s="20"/>
      <c r="O5" s="20"/>
      <c r="P5" s="38"/>
      <c r="Q5" s="38"/>
      <c r="R5" s="38"/>
      <c r="S5" s="26"/>
      <c r="T5" s="26"/>
      <c r="U5" s="39"/>
      <c r="V5" s="39"/>
      <c r="W5" s="40"/>
      <c r="X5" s="20"/>
      <c r="Y5" s="20"/>
      <c r="Z5" s="26"/>
      <c r="AA5" s="26"/>
      <c r="AB5" s="20"/>
      <c r="AC5" s="20"/>
      <c r="AD5" s="20"/>
      <c r="AE5" s="20"/>
      <c r="AF5" s="20"/>
      <c r="AG5" s="26"/>
      <c r="AH5" s="26"/>
      <c r="AI5" s="41"/>
      <c r="AJ5" s="41"/>
      <c r="AK5" s="20"/>
      <c r="AL5" s="20"/>
      <c r="AM5" s="41"/>
      <c r="AN5" s="26"/>
      <c r="AO5" s="26"/>
      <c r="AP5" s="41"/>
      <c r="AQ5" s="41"/>
      <c r="AR5" s="20"/>
      <c r="AS5" s="20"/>
      <c r="AT5" s="41"/>
      <c r="AU5" s="26"/>
      <c r="AV5" s="26"/>
      <c r="AW5" s="41"/>
      <c r="AX5" s="41"/>
      <c r="AY5" s="20"/>
      <c r="AZ5" s="20"/>
      <c r="BA5" s="41"/>
    </row>
    <row r="6" spans="1:53" x14ac:dyDescent="0.35">
      <c r="A6" s="20" t="s">
        <v>62</v>
      </c>
      <c r="B6" s="35"/>
      <c r="C6" s="35"/>
      <c r="D6" s="35"/>
      <c r="E6" s="36"/>
      <c r="F6" s="37"/>
      <c r="G6" s="37"/>
      <c r="H6" s="37"/>
      <c r="I6" s="37"/>
      <c r="J6" s="37"/>
      <c r="K6" s="37"/>
      <c r="L6" s="26"/>
      <c r="M6" s="26"/>
      <c r="N6" s="20"/>
      <c r="O6" s="20"/>
      <c r="P6" s="38"/>
      <c r="Q6" s="38"/>
      <c r="R6" s="38"/>
      <c r="S6" s="26"/>
      <c r="T6" s="26"/>
      <c r="U6" s="20"/>
      <c r="V6" s="20"/>
      <c r="W6" s="20"/>
      <c r="X6" s="20"/>
      <c r="Y6" s="20"/>
      <c r="Z6" s="26"/>
      <c r="AA6" s="26"/>
      <c r="AB6" s="20"/>
      <c r="AC6" s="20"/>
      <c r="AD6" s="20"/>
      <c r="AE6" s="20"/>
      <c r="AF6" s="20"/>
      <c r="AG6" s="26"/>
      <c r="AH6" s="26"/>
      <c r="AI6" s="41"/>
      <c r="AJ6" s="41"/>
      <c r="AK6" s="20"/>
      <c r="AL6" s="20"/>
      <c r="AM6" s="41"/>
      <c r="AN6" s="26"/>
      <c r="AO6" s="26"/>
      <c r="AP6" s="41"/>
      <c r="AQ6" s="41"/>
      <c r="AR6" s="20"/>
      <c r="AS6" s="20"/>
      <c r="AT6" s="41"/>
      <c r="AU6" s="26"/>
      <c r="AV6" s="26"/>
      <c r="AW6" s="41"/>
      <c r="AX6" s="41"/>
      <c r="AY6" s="20"/>
      <c r="AZ6" s="20"/>
      <c r="BA6" s="41"/>
    </row>
    <row r="7" spans="1:53" x14ac:dyDescent="0.35">
      <c r="A7" s="20" t="s">
        <v>63</v>
      </c>
      <c r="B7" s="35">
        <v>45994</v>
      </c>
      <c r="C7" s="35">
        <v>45995</v>
      </c>
      <c r="D7" s="35" t="s">
        <v>64</v>
      </c>
      <c r="E7" s="36">
        <v>3</v>
      </c>
      <c r="F7" s="37" t="s">
        <v>65</v>
      </c>
      <c r="G7" s="37"/>
      <c r="H7" s="37"/>
      <c r="I7" s="37"/>
      <c r="J7" s="37"/>
      <c r="K7" s="37"/>
      <c r="L7" s="26"/>
      <c r="M7" s="26"/>
      <c r="Q7" s="38"/>
      <c r="R7" s="38"/>
      <c r="S7" s="26"/>
      <c r="T7" s="26"/>
      <c r="U7" s="20"/>
      <c r="V7" s="20"/>
      <c r="W7" s="42"/>
      <c r="X7" s="42"/>
      <c r="Y7" s="20"/>
      <c r="Z7" s="43"/>
      <c r="AA7" s="43"/>
      <c r="AB7" s="41"/>
      <c r="AC7" s="20"/>
      <c r="AD7" s="20"/>
      <c r="AE7" s="20"/>
      <c r="AF7" s="20"/>
      <c r="AG7" s="26"/>
      <c r="AH7" s="26"/>
      <c r="AI7" s="41"/>
      <c r="AJ7" s="41"/>
      <c r="AK7" s="20"/>
      <c r="AL7" s="20"/>
      <c r="AM7" s="41"/>
      <c r="AN7" s="26"/>
      <c r="AO7" s="26"/>
      <c r="AP7" s="41"/>
      <c r="AQ7" s="41"/>
      <c r="AR7" s="20"/>
      <c r="AS7" s="20"/>
      <c r="AT7" s="41"/>
      <c r="AU7" s="26"/>
      <c r="AV7" s="26"/>
      <c r="AW7" s="41"/>
      <c r="AX7" s="41"/>
      <c r="AY7" s="20"/>
      <c r="AZ7" s="20"/>
      <c r="BA7" s="41"/>
    </row>
    <row r="8" spans="1:53" x14ac:dyDescent="0.35">
      <c r="A8" s="20" t="s">
        <v>66</v>
      </c>
      <c r="B8" s="35">
        <v>45996</v>
      </c>
      <c r="C8" s="35">
        <v>45996</v>
      </c>
      <c r="D8" s="35" t="s">
        <v>67</v>
      </c>
      <c r="E8" s="36">
        <v>1</v>
      </c>
      <c r="F8" s="37" t="s">
        <v>68</v>
      </c>
      <c r="G8" s="37"/>
      <c r="H8" s="37"/>
      <c r="I8" s="37"/>
      <c r="J8" s="37"/>
      <c r="K8" s="37"/>
      <c r="L8" s="26"/>
      <c r="M8" s="26"/>
      <c r="N8" s="20"/>
      <c r="O8" s="20"/>
      <c r="P8" s="38"/>
      <c r="R8" s="38"/>
      <c r="S8" s="26"/>
      <c r="T8" s="26"/>
      <c r="U8" s="20"/>
      <c r="V8" s="20"/>
      <c r="W8" s="20"/>
      <c r="X8" s="20"/>
      <c r="Y8" s="42"/>
      <c r="Z8" s="26"/>
      <c r="AA8" s="26"/>
      <c r="AB8" s="20"/>
      <c r="AC8" s="41"/>
      <c r="AD8" s="20"/>
      <c r="AE8" s="20"/>
      <c r="AF8" s="20"/>
      <c r="AG8" s="26"/>
      <c r="AH8" s="26"/>
      <c r="AI8" s="41"/>
      <c r="AJ8" s="41"/>
      <c r="AK8" s="20"/>
      <c r="AL8" s="20"/>
      <c r="AM8" s="41"/>
      <c r="AN8" s="26"/>
      <c r="AO8" s="26"/>
      <c r="AP8" s="41"/>
      <c r="AQ8" s="41"/>
      <c r="AR8" s="20"/>
      <c r="AS8" s="20"/>
      <c r="AT8" s="41"/>
      <c r="AU8" s="26"/>
      <c r="AV8" s="26"/>
      <c r="AW8" s="41"/>
      <c r="AX8" s="41"/>
      <c r="AY8" s="20"/>
      <c r="AZ8" s="20"/>
      <c r="BA8" s="41"/>
    </row>
    <row r="9" spans="1:53" ht="26.5" x14ac:dyDescent="0.35">
      <c r="A9" s="44" t="s">
        <v>69</v>
      </c>
      <c r="B9" s="35">
        <v>45999</v>
      </c>
      <c r="C9" s="35">
        <v>46001</v>
      </c>
      <c r="D9" s="35" t="s">
        <v>70</v>
      </c>
      <c r="E9" s="36">
        <v>3</v>
      </c>
      <c r="F9" s="37" t="s">
        <v>71</v>
      </c>
      <c r="G9" s="37"/>
      <c r="H9" s="37"/>
      <c r="I9" s="37"/>
      <c r="J9" s="37"/>
      <c r="K9" s="37"/>
      <c r="L9" s="26"/>
      <c r="M9" s="26"/>
      <c r="N9" s="20"/>
      <c r="O9" s="20"/>
      <c r="P9" s="38"/>
      <c r="Q9" s="38"/>
      <c r="S9" s="26"/>
      <c r="T9" s="26"/>
      <c r="U9" s="19"/>
      <c r="V9" s="19"/>
      <c r="W9" s="20"/>
      <c r="X9" s="20"/>
      <c r="Y9" s="20"/>
      <c r="Z9" s="26"/>
      <c r="AA9" s="26"/>
      <c r="AB9" s="42"/>
      <c r="AC9" s="42"/>
      <c r="AD9" s="42"/>
      <c r="AE9" s="19"/>
      <c r="AF9" s="19"/>
      <c r="AG9" s="26"/>
      <c r="AH9" s="26"/>
      <c r="AI9" s="41"/>
      <c r="AJ9" s="41"/>
      <c r="AK9" s="20"/>
      <c r="AL9" s="20"/>
      <c r="AM9" s="41"/>
      <c r="AN9" s="26"/>
      <c r="AO9" s="26"/>
      <c r="AP9" s="41"/>
      <c r="AQ9" s="41"/>
      <c r="AR9" s="20"/>
      <c r="AS9" s="20"/>
      <c r="AT9" s="41"/>
      <c r="AU9" s="26"/>
      <c r="AV9" s="26"/>
      <c r="AW9" s="41"/>
      <c r="AX9" s="41"/>
      <c r="AY9" s="20"/>
      <c r="AZ9" s="20"/>
      <c r="BA9" s="41"/>
    </row>
    <row r="10" spans="1:53" ht="19.5" customHeight="1" x14ac:dyDescent="0.35">
      <c r="A10" s="44" t="s">
        <v>72</v>
      </c>
      <c r="B10" s="35">
        <v>46001</v>
      </c>
      <c r="C10" s="35">
        <v>46001</v>
      </c>
      <c r="D10" s="35" t="s">
        <v>73</v>
      </c>
      <c r="E10" s="36" t="s">
        <v>74</v>
      </c>
      <c r="F10" s="37" t="s">
        <v>75</v>
      </c>
      <c r="G10" s="37"/>
      <c r="H10" s="37"/>
      <c r="I10" s="37"/>
      <c r="J10" s="37"/>
      <c r="K10" s="37"/>
      <c r="L10" s="26"/>
      <c r="M10" s="26"/>
      <c r="N10" s="20"/>
      <c r="O10" s="20"/>
      <c r="P10" s="38"/>
      <c r="Q10" s="38"/>
      <c r="R10" s="38"/>
      <c r="S10" s="26"/>
      <c r="T10" s="26"/>
      <c r="U10" s="20"/>
      <c r="V10" s="20"/>
      <c r="X10" s="20"/>
      <c r="Y10" s="20"/>
      <c r="Z10" s="26"/>
      <c r="AA10" s="26"/>
      <c r="AD10" s="42"/>
      <c r="AE10" s="20"/>
      <c r="AF10" s="20"/>
      <c r="AG10" s="26"/>
      <c r="AH10" s="26"/>
      <c r="AI10" s="41"/>
      <c r="AJ10" s="41"/>
      <c r="AK10" s="20"/>
      <c r="AL10" s="20"/>
      <c r="AM10" s="41"/>
      <c r="AN10" s="26"/>
      <c r="AO10" s="26"/>
      <c r="AP10" s="41"/>
      <c r="AQ10" s="41"/>
      <c r="AR10" s="20"/>
      <c r="AS10" s="20"/>
      <c r="AT10" s="41"/>
      <c r="AU10" s="26"/>
      <c r="AV10" s="26"/>
      <c r="AW10" s="41"/>
      <c r="AX10" s="41"/>
      <c r="AY10" s="20"/>
      <c r="AZ10" s="20"/>
      <c r="BA10" s="41"/>
    </row>
    <row r="11" spans="1:53" ht="18" customHeight="1" x14ac:dyDescent="0.35">
      <c r="A11" s="44" t="s">
        <v>76</v>
      </c>
      <c r="B11" s="35">
        <v>45999</v>
      </c>
      <c r="C11" s="35">
        <v>46003</v>
      </c>
      <c r="D11" s="35" t="s">
        <v>64</v>
      </c>
      <c r="E11" s="36" t="s">
        <v>77</v>
      </c>
      <c r="F11" s="37" t="s">
        <v>78</v>
      </c>
      <c r="G11" s="37"/>
      <c r="H11" s="37"/>
      <c r="I11" s="37"/>
      <c r="J11" s="37"/>
      <c r="K11" s="37"/>
      <c r="L11" s="26"/>
      <c r="M11" s="26"/>
      <c r="N11" s="20"/>
      <c r="O11" s="20"/>
      <c r="P11" s="38"/>
      <c r="Q11" s="38"/>
      <c r="R11" s="38"/>
      <c r="S11" s="26"/>
      <c r="T11" s="26"/>
      <c r="U11" s="20"/>
      <c r="V11" s="20"/>
      <c r="W11" s="20"/>
      <c r="X11" s="19"/>
      <c r="Y11" s="19"/>
      <c r="Z11" s="26"/>
      <c r="AA11" s="26"/>
      <c r="AB11" s="45"/>
      <c r="AC11" s="45"/>
      <c r="AD11" s="45"/>
      <c r="AE11" s="45"/>
      <c r="AF11" s="45"/>
      <c r="AG11" s="26"/>
      <c r="AH11" s="26"/>
      <c r="AI11" s="20"/>
      <c r="AJ11" s="20"/>
      <c r="AK11" s="20"/>
      <c r="AL11" s="20"/>
      <c r="AM11" s="20"/>
      <c r="AN11" s="26"/>
      <c r="AO11" s="26"/>
      <c r="AP11" s="20"/>
      <c r="AQ11" s="20"/>
      <c r="AR11" s="20"/>
      <c r="AS11" s="20"/>
      <c r="AT11" s="41"/>
      <c r="AU11" s="26"/>
      <c r="AV11" s="26"/>
      <c r="AW11" s="20"/>
      <c r="AX11" s="20"/>
      <c r="AY11" s="20"/>
      <c r="AZ11" s="20"/>
      <c r="BA11" s="41"/>
    </row>
    <row r="12" spans="1:53" ht="19.5" customHeight="1" x14ac:dyDescent="0.35">
      <c r="A12" s="44" t="s">
        <v>79</v>
      </c>
      <c r="B12" s="35">
        <v>46002</v>
      </c>
      <c r="C12" s="35">
        <v>46002</v>
      </c>
      <c r="D12" s="35" t="s">
        <v>64</v>
      </c>
      <c r="E12" s="36" t="s">
        <v>80</v>
      </c>
      <c r="F12" s="37"/>
      <c r="G12" s="37"/>
      <c r="H12" s="37"/>
      <c r="I12" s="37"/>
      <c r="J12" s="37"/>
      <c r="K12" s="37"/>
      <c r="L12" s="26"/>
      <c r="M12" s="26"/>
      <c r="N12" s="20"/>
      <c r="O12" s="20"/>
      <c r="P12" s="38"/>
      <c r="Q12" s="38"/>
      <c r="R12" s="38"/>
      <c r="S12" s="26"/>
      <c r="T12" s="26"/>
      <c r="U12" s="19"/>
      <c r="V12" s="19"/>
      <c r="W12" s="20"/>
      <c r="X12" s="20"/>
      <c r="Y12" s="20"/>
      <c r="Z12" s="26"/>
      <c r="AA12" s="26"/>
      <c r="AB12" s="20"/>
      <c r="AC12" s="20"/>
      <c r="AD12" s="20"/>
      <c r="AE12" s="42"/>
      <c r="AF12" s="20"/>
      <c r="AG12" s="26"/>
      <c r="AH12" s="26"/>
      <c r="AI12" s="19"/>
      <c r="AJ12" s="19"/>
      <c r="AK12" s="20"/>
      <c r="AL12" s="20"/>
      <c r="AM12" s="41"/>
      <c r="AN12" s="26"/>
      <c r="AO12" s="26"/>
      <c r="AP12" s="41"/>
      <c r="AQ12" s="41"/>
      <c r="AR12" s="20"/>
      <c r="AS12" s="20"/>
      <c r="AT12" s="41"/>
      <c r="AU12" s="26"/>
      <c r="AV12" s="26"/>
      <c r="AW12" s="41"/>
      <c r="AX12" s="41"/>
      <c r="AY12" s="20"/>
      <c r="AZ12" s="20"/>
      <c r="BA12" s="41"/>
    </row>
    <row r="13" spans="1:53" ht="16.5" customHeight="1" x14ac:dyDescent="0.35">
      <c r="A13" s="20" t="s">
        <v>40</v>
      </c>
      <c r="B13" s="35">
        <v>45641</v>
      </c>
      <c r="C13" s="35">
        <v>45644</v>
      </c>
      <c r="D13" s="35" t="s">
        <v>81</v>
      </c>
      <c r="E13" s="36" t="s">
        <v>82</v>
      </c>
      <c r="F13" s="37"/>
      <c r="G13" s="37"/>
      <c r="H13" s="37"/>
      <c r="I13" s="37"/>
      <c r="J13" s="37"/>
      <c r="K13" s="37"/>
      <c r="L13" s="26"/>
      <c r="M13" s="26"/>
      <c r="N13" s="20"/>
      <c r="O13" s="20"/>
      <c r="P13" s="38"/>
      <c r="Q13" s="38"/>
      <c r="R13" s="38"/>
      <c r="S13" s="26"/>
      <c r="T13" s="26"/>
      <c r="U13" s="20"/>
      <c r="V13" s="20"/>
      <c r="W13" s="19"/>
      <c r="X13" s="19"/>
      <c r="Y13" s="19"/>
      <c r="Z13" s="26"/>
      <c r="AA13" s="26"/>
      <c r="AC13" s="20"/>
      <c r="AD13" s="20"/>
      <c r="AE13" s="20"/>
      <c r="AF13" s="20"/>
      <c r="AG13" s="26"/>
      <c r="AH13" s="26"/>
      <c r="AI13" s="42"/>
      <c r="AJ13" s="42"/>
      <c r="AK13" s="42"/>
      <c r="AL13" s="46"/>
      <c r="AN13" s="26"/>
      <c r="AO13" s="26"/>
      <c r="AP13" s="20"/>
      <c r="AQ13" s="41"/>
      <c r="AR13" s="20"/>
      <c r="AS13" s="20"/>
      <c r="AT13" s="41"/>
      <c r="AU13" s="26"/>
      <c r="AV13" s="26"/>
      <c r="AW13" s="20"/>
      <c r="AX13" s="41"/>
      <c r="AY13" s="20"/>
      <c r="AZ13" s="20"/>
      <c r="BA13" s="41"/>
    </row>
    <row r="14" spans="1:53" ht="20.5" customHeight="1" x14ac:dyDescent="0.35">
      <c r="A14" s="44" t="s">
        <v>83</v>
      </c>
      <c r="B14" s="35">
        <v>45643</v>
      </c>
      <c r="C14" s="35">
        <v>45644</v>
      </c>
      <c r="D14" s="35" t="s">
        <v>84</v>
      </c>
      <c r="E14" s="36">
        <v>2</v>
      </c>
      <c r="F14" s="37"/>
      <c r="G14" s="37"/>
      <c r="H14" s="37"/>
      <c r="I14" s="37"/>
      <c r="J14" s="37"/>
      <c r="K14" s="37"/>
      <c r="L14" s="26"/>
      <c r="M14" s="26"/>
      <c r="N14" s="20"/>
      <c r="O14" s="20"/>
      <c r="P14" s="38"/>
      <c r="Q14" s="38"/>
      <c r="R14" s="38"/>
      <c r="S14" s="26"/>
      <c r="T14" s="26"/>
      <c r="U14" s="20"/>
      <c r="V14" s="20"/>
      <c r="W14" s="20"/>
      <c r="X14" s="20"/>
      <c r="Y14" s="20"/>
      <c r="Z14" s="26"/>
      <c r="AA14" s="26"/>
      <c r="AB14" s="20"/>
      <c r="AC14" s="20"/>
      <c r="AD14" s="20"/>
      <c r="AE14" s="20"/>
      <c r="AF14" s="20"/>
      <c r="AG14" s="26"/>
      <c r="AH14" s="26"/>
      <c r="AI14" s="41"/>
      <c r="AJ14" s="41"/>
      <c r="AK14" s="20"/>
      <c r="AL14" s="20"/>
      <c r="AM14" s="41"/>
      <c r="AN14" s="26"/>
      <c r="AO14" s="26"/>
      <c r="AP14" s="41"/>
      <c r="AQ14" s="41"/>
      <c r="AR14" s="20"/>
      <c r="AS14" s="20"/>
      <c r="AT14" s="41"/>
      <c r="AU14" s="26"/>
      <c r="AV14" s="26"/>
      <c r="AW14" s="41"/>
      <c r="AX14" s="41"/>
      <c r="AY14" s="20"/>
      <c r="AZ14" s="20"/>
      <c r="BA14" s="41"/>
    </row>
    <row r="15" spans="1:53" ht="18" customHeight="1" x14ac:dyDescent="0.35">
      <c r="A15" s="20" t="s">
        <v>85</v>
      </c>
      <c r="B15" s="35">
        <v>45637</v>
      </c>
      <c r="C15" s="35">
        <v>45638</v>
      </c>
      <c r="D15" s="35" t="s">
        <v>86</v>
      </c>
      <c r="E15" s="36" t="s">
        <v>87</v>
      </c>
      <c r="F15" s="37"/>
      <c r="G15" s="37"/>
      <c r="H15" s="37"/>
      <c r="I15" s="37"/>
      <c r="J15" s="37"/>
      <c r="K15" s="37"/>
      <c r="L15" s="26"/>
      <c r="M15" s="26"/>
      <c r="N15" s="20"/>
      <c r="O15" s="20"/>
      <c r="P15" s="38"/>
      <c r="Q15" s="38"/>
      <c r="R15" s="38"/>
      <c r="S15" s="26"/>
      <c r="T15" s="26"/>
      <c r="U15" s="20"/>
      <c r="V15" s="20"/>
      <c r="W15" s="19"/>
      <c r="X15" s="19"/>
      <c r="Y15" s="20"/>
      <c r="Z15" s="26"/>
      <c r="AA15" s="26"/>
      <c r="AB15" s="20"/>
      <c r="AC15" s="20"/>
      <c r="AD15" s="20"/>
      <c r="AE15" s="42"/>
      <c r="AF15" s="42"/>
      <c r="AG15" s="26"/>
      <c r="AH15" s="26"/>
      <c r="AI15" s="20"/>
      <c r="AJ15" s="20"/>
      <c r="AK15" s="20"/>
      <c r="AL15" s="20"/>
      <c r="AM15" s="41"/>
      <c r="AN15" s="26"/>
      <c r="AO15" s="26"/>
      <c r="AP15" s="41"/>
      <c r="AQ15" s="41"/>
      <c r="AR15" s="20"/>
      <c r="AS15" s="20"/>
      <c r="AT15" s="41"/>
      <c r="AU15" s="26"/>
      <c r="AV15" s="26"/>
      <c r="AW15" s="41"/>
      <c r="AX15" s="41"/>
      <c r="AY15" s="20"/>
      <c r="AZ15" s="20"/>
      <c r="BA15" s="41"/>
    </row>
    <row r="16" spans="1:53" ht="15.65" customHeight="1" x14ac:dyDescent="0.35">
      <c r="A16" s="20" t="s">
        <v>88</v>
      </c>
      <c r="B16" s="35">
        <v>46008</v>
      </c>
      <c r="C16" s="35">
        <v>46010</v>
      </c>
      <c r="D16" s="35" t="s">
        <v>89</v>
      </c>
      <c r="E16" s="36" t="s">
        <v>90</v>
      </c>
      <c r="F16" s="37"/>
      <c r="G16" s="37"/>
      <c r="H16" s="37"/>
      <c r="I16" s="37"/>
      <c r="J16" s="37"/>
      <c r="K16" s="37"/>
      <c r="L16" s="26"/>
      <c r="M16" s="26"/>
      <c r="N16" s="20"/>
      <c r="O16" s="20"/>
      <c r="P16" s="38"/>
      <c r="Q16" s="38"/>
      <c r="R16" s="38"/>
      <c r="S16" s="26"/>
      <c r="T16" s="26"/>
      <c r="U16" s="20"/>
      <c r="V16" s="20"/>
      <c r="W16" s="20"/>
      <c r="X16" s="20"/>
      <c r="Y16" s="20"/>
      <c r="Z16" s="26"/>
      <c r="AA16" s="26"/>
      <c r="AB16" s="20"/>
      <c r="AD16" s="20"/>
      <c r="AE16" s="20"/>
      <c r="AF16" s="20"/>
      <c r="AG16" s="26"/>
      <c r="AH16" s="26"/>
      <c r="AI16" s="41"/>
      <c r="AJ16" s="41"/>
      <c r="AK16" s="42"/>
      <c r="AL16" s="42"/>
      <c r="AN16" s="26"/>
      <c r="AO16" s="26"/>
      <c r="AP16" s="41"/>
      <c r="AR16" s="20"/>
      <c r="AS16" s="20"/>
      <c r="AT16" s="41"/>
      <c r="AU16" s="26"/>
      <c r="AV16" s="26"/>
      <c r="AW16" s="41"/>
      <c r="AY16" s="20"/>
      <c r="AZ16" s="20"/>
      <c r="BA16" s="41"/>
    </row>
    <row r="17" spans="1:53" x14ac:dyDescent="0.35">
      <c r="A17" s="33" t="s">
        <v>91</v>
      </c>
      <c r="B17" s="47"/>
      <c r="C17" s="47"/>
      <c r="D17" s="47"/>
      <c r="E17" s="48"/>
      <c r="F17" s="37"/>
      <c r="G17" s="37"/>
      <c r="H17" s="37"/>
      <c r="I17" s="37"/>
      <c r="J17" s="37"/>
      <c r="K17" s="37"/>
      <c r="L17" s="26"/>
      <c r="M17" s="26"/>
      <c r="N17" s="19"/>
      <c r="O17" s="19"/>
      <c r="P17" s="49"/>
      <c r="Q17" s="49"/>
      <c r="R17" s="49"/>
      <c r="S17" s="50"/>
      <c r="T17" s="50"/>
      <c r="U17" s="20"/>
      <c r="V17" s="19"/>
      <c r="W17" s="19"/>
      <c r="X17" s="19"/>
      <c r="Y17" s="19"/>
      <c r="Z17" s="50"/>
      <c r="AA17" s="50"/>
      <c r="AB17" s="19"/>
      <c r="AC17" s="19"/>
      <c r="AD17" s="19"/>
      <c r="AE17" s="19"/>
      <c r="AF17" s="19"/>
      <c r="AG17" s="50"/>
      <c r="AH17" s="50"/>
      <c r="AI17" s="51"/>
      <c r="AJ17" s="51"/>
      <c r="AK17" s="19"/>
      <c r="AL17" s="19"/>
      <c r="AM17" s="51"/>
      <c r="AN17" s="50"/>
      <c r="AO17" s="50"/>
      <c r="AP17" s="51"/>
      <c r="AQ17" s="51"/>
      <c r="AR17" s="19"/>
      <c r="AS17" s="19"/>
      <c r="AT17" s="51"/>
      <c r="AU17" s="50"/>
      <c r="AV17" s="50"/>
      <c r="AW17" s="51"/>
      <c r="AX17" s="51"/>
      <c r="AY17" s="19"/>
      <c r="AZ17" s="19"/>
      <c r="BA17" s="51"/>
    </row>
    <row r="18" spans="1:53" x14ac:dyDescent="0.35">
      <c r="A18" s="20" t="s">
        <v>92</v>
      </c>
      <c r="B18" s="35">
        <v>46002</v>
      </c>
      <c r="C18" s="35">
        <v>46002</v>
      </c>
      <c r="D18" s="35" t="s">
        <v>93</v>
      </c>
      <c r="E18" s="36">
        <v>1</v>
      </c>
      <c r="F18" s="52"/>
      <c r="G18" s="37"/>
      <c r="H18" s="37"/>
      <c r="I18" s="37"/>
      <c r="J18" s="37"/>
      <c r="K18" s="37"/>
      <c r="L18" s="26"/>
      <c r="M18" s="26"/>
      <c r="N18" s="19"/>
      <c r="O18" s="19"/>
      <c r="P18" s="49"/>
      <c r="Q18" s="49"/>
      <c r="R18" s="49"/>
      <c r="S18" s="50"/>
      <c r="T18" s="50"/>
      <c r="U18" s="20"/>
      <c r="V18" s="19"/>
      <c r="W18" s="19"/>
      <c r="X18" s="19"/>
      <c r="Y18" s="19"/>
      <c r="Z18" s="50"/>
      <c r="AA18" s="50"/>
      <c r="AB18" s="19"/>
      <c r="AC18" s="19"/>
      <c r="AD18" s="19"/>
      <c r="AE18" s="45"/>
      <c r="AF18" s="19"/>
      <c r="AG18" s="50"/>
      <c r="AH18" s="50"/>
      <c r="AI18" s="51"/>
      <c r="AJ18" s="51"/>
      <c r="AK18" s="19"/>
      <c r="AL18" s="19"/>
      <c r="AM18" s="51"/>
      <c r="AN18" s="50"/>
      <c r="AO18" s="50"/>
      <c r="AP18" s="51"/>
      <c r="AQ18" s="51"/>
      <c r="AR18" s="19"/>
      <c r="AS18" s="19"/>
      <c r="AT18" s="51"/>
      <c r="AU18" s="50"/>
      <c r="AV18" s="50"/>
      <c r="AW18" s="51"/>
      <c r="AX18" s="51"/>
      <c r="AY18" s="19"/>
      <c r="AZ18" s="19"/>
      <c r="BA18" s="51"/>
    </row>
    <row r="19" spans="1:53" x14ac:dyDescent="0.35">
      <c r="A19" s="20" t="s">
        <v>94</v>
      </c>
      <c r="B19" s="35">
        <v>46006</v>
      </c>
      <c r="C19" s="35">
        <v>46006</v>
      </c>
      <c r="D19" s="35" t="s">
        <v>73</v>
      </c>
      <c r="E19" s="36">
        <v>2</v>
      </c>
      <c r="G19" s="37"/>
      <c r="H19" s="37"/>
      <c r="I19" s="37"/>
      <c r="J19" s="37"/>
      <c r="K19" s="37"/>
      <c r="L19" s="26"/>
      <c r="M19" s="26"/>
      <c r="N19" s="19"/>
      <c r="O19" s="19"/>
      <c r="P19" s="49"/>
      <c r="Q19" s="49"/>
      <c r="R19" s="49"/>
      <c r="S19" s="50"/>
      <c r="T19" s="50"/>
      <c r="U19" s="20"/>
      <c r="V19" s="19"/>
      <c r="W19" s="19"/>
      <c r="X19" s="19"/>
      <c r="Y19" s="19"/>
      <c r="Z19" s="50"/>
      <c r="AA19" s="50"/>
      <c r="AB19" s="19"/>
      <c r="AC19" s="19"/>
      <c r="AD19" s="19"/>
      <c r="AE19" s="19"/>
      <c r="AF19" s="45"/>
      <c r="AG19" s="50"/>
      <c r="AH19" s="50"/>
      <c r="AI19" s="45"/>
      <c r="AJ19" s="51"/>
      <c r="AK19" s="19"/>
      <c r="AL19" s="19"/>
      <c r="AM19" s="51"/>
      <c r="AN19" s="50"/>
      <c r="AO19" s="50"/>
      <c r="AP19" s="51"/>
      <c r="AQ19" s="51"/>
      <c r="AR19" s="19"/>
      <c r="AS19" s="19"/>
      <c r="AT19" s="51"/>
      <c r="AU19" s="50"/>
      <c r="AV19" s="50"/>
      <c r="AW19" s="51"/>
      <c r="AX19" s="51"/>
      <c r="AY19" s="19"/>
      <c r="AZ19" s="19"/>
      <c r="BA19" s="51"/>
    </row>
    <row r="20" spans="1:53" x14ac:dyDescent="0.35">
      <c r="A20" s="20" t="s">
        <v>95</v>
      </c>
      <c r="B20" s="35">
        <v>46006</v>
      </c>
      <c r="C20" s="35">
        <v>46006</v>
      </c>
      <c r="D20" s="35" t="s">
        <v>73</v>
      </c>
      <c r="E20" s="36">
        <v>1</v>
      </c>
      <c r="G20" s="37"/>
      <c r="H20" s="37"/>
      <c r="I20" s="37"/>
      <c r="J20" s="37"/>
      <c r="K20" s="37"/>
      <c r="L20" s="26"/>
      <c r="M20" s="26"/>
      <c r="N20" s="19"/>
      <c r="O20" s="19"/>
      <c r="P20" s="49"/>
      <c r="Q20" s="49"/>
      <c r="R20" s="49"/>
      <c r="S20" s="50"/>
      <c r="T20" s="50"/>
      <c r="U20" s="20"/>
      <c r="V20" s="19"/>
      <c r="W20" s="19"/>
      <c r="X20" s="19"/>
      <c r="Y20" s="19"/>
      <c r="Z20" s="50"/>
      <c r="AA20" s="50"/>
      <c r="AB20" s="19"/>
      <c r="AC20" s="19"/>
      <c r="AD20" s="19"/>
      <c r="AE20" s="19"/>
      <c r="AF20" s="19"/>
      <c r="AG20" s="50"/>
      <c r="AH20" s="50"/>
      <c r="AI20" s="45"/>
      <c r="AJ20" s="51"/>
      <c r="AK20" s="19"/>
      <c r="AL20" s="19"/>
      <c r="AM20" s="51"/>
      <c r="AN20" s="50"/>
      <c r="AO20" s="50"/>
      <c r="AP20" s="51"/>
      <c r="AQ20" s="51"/>
      <c r="AR20" s="19"/>
      <c r="AS20" s="19"/>
      <c r="AT20" s="51"/>
      <c r="AU20" s="50"/>
      <c r="AV20" s="50"/>
      <c r="AW20" s="51"/>
      <c r="AX20" s="51"/>
      <c r="AY20" s="19"/>
      <c r="AZ20" s="19"/>
      <c r="BA20" s="51"/>
    </row>
    <row r="21" spans="1:53" ht="15.65" customHeight="1" x14ac:dyDescent="0.35">
      <c r="A21" s="20" t="s">
        <v>8</v>
      </c>
      <c r="B21" s="35">
        <v>46006</v>
      </c>
      <c r="C21" s="35">
        <v>46007</v>
      </c>
      <c r="D21" s="35" t="s">
        <v>64</v>
      </c>
      <c r="E21" s="36" t="s">
        <v>96</v>
      </c>
      <c r="G21" s="37"/>
      <c r="H21" s="37"/>
      <c r="I21" s="37"/>
      <c r="J21" s="37"/>
      <c r="K21" s="37"/>
      <c r="L21" s="26"/>
      <c r="M21" s="26"/>
      <c r="N21" s="19"/>
      <c r="O21" s="19"/>
      <c r="P21" s="49"/>
      <c r="Q21" s="49"/>
      <c r="R21" s="49"/>
      <c r="S21" s="50"/>
      <c r="T21" s="50"/>
      <c r="U21" s="20"/>
      <c r="V21" s="19"/>
      <c r="W21" s="19"/>
      <c r="X21" s="19"/>
      <c r="Y21" s="19"/>
      <c r="Z21" s="50"/>
      <c r="AA21" s="50"/>
      <c r="AB21" s="19"/>
      <c r="AC21" s="19"/>
      <c r="AD21" s="19"/>
      <c r="AE21" s="19"/>
      <c r="AF21" s="19"/>
      <c r="AG21" s="50"/>
      <c r="AH21" s="50"/>
      <c r="AI21" s="51"/>
      <c r="AJ21" s="45"/>
      <c r="AK21" s="19"/>
      <c r="AL21" s="19"/>
      <c r="AM21" s="51"/>
      <c r="AN21" s="50"/>
      <c r="AO21" s="50"/>
      <c r="AP21" s="51"/>
      <c r="AQ21" s="51"/>
      <c r="AR21" s="19"/>
      <c r="AS21" s="19"/>
      <c r="AT21" s="51"/>
      <c r="AU21" s="50"/>
      <c r="AV21" s="50"/>
      <c r="AW21" s="51"/>
      <c r="AX21" s="51"/>
      <c r="AY21" s="19"/>
      <c r="AZ21" s="19"/>
      <c r="BA21" s="51"/>
    </row>
    <row r="22" spans="1:53" x14ac:dyDescent="0.35">
      <c r="A22" s="53" t="s">
        <v>97</v>
      </c>
      <c r="B22" s="54" t="s">
        <v>98</v>
      </c>
      <c r="C22" s="54" t="s">
        <v>98</v>
      </c>
      <c r="D22" s="55" t="s">
        <v>99</v>
      </c>
      <c r="E22" s="36">
        <v>1</v>
      </c>
      <c r="G22" s="37"/>
      <c r="H22" s="37"/>
      <c r="I22" s="37"/>
      <c r="J22" s="37"/>
      <c r="K22" s="37"/>
      <c r="L22" s="26"/>
      <c r="M22" s="26"/>
      <c r="N22" s="19"/>
      <c r="O22" s="19"/>
      <c r="P22" s="49"/>
      <c r="Q22" s="49"/>
      <c r="R22" s="49"/>
      <c r="S22" s="50"/>
      <c r="T22" s="50"/>
      <c r="U22" s="20"/>
      <c r="V22" s="19"/>
      <c r="W22" s="19"/>
      <c r="X22" s="19"/>
      <c r="Y22" s="19"/>
      <c r="Z22" s="50"/>
      <c r="AA22" s="50"/>
      <c r="AB22" s="19"/>
      <c r="AC22" s="19"/>
      <c r="AD22" s="19"/>
      <c r="AE22" s="19"/>
      <c r="AF22" s="19"/>
      <c r="AG22" s="50"/>
      <c r="AH22" s="50"/>
      <c r="AI22" s="51"/>
      <c r="AJ22" s="19"/>
      <c r="AK22" s="45"/>
      <c r="AL22" s="19"/>
      <c r="AM22" s="51"/>
      <c r="AN22" s="50"/>
      <c r="AO22" s="50"/>
      <c r="AP22" s="51"/>
      <c r="AQ22" s="51"/>
      <c r="AR22" s="19"/>
      <c r="AS22" s="19"/>
      <c r="AT22" s="51"/>
      <c r="AU22" s="50"/>
      <c r="AV22" s="50"/>
      <c r="AW22" s="51"/>
      <c r="AX22" s="51"/>
      <c r="AY22" s="19"/>
      <c r="AZ22" s="19"/>
      <c r="BA22" s="51"/>
    </row>
    <row r="23" spans="1:53" x14ac:dyDescent="0.35">
      <c r="A23" s="20" t="s">
        <v>100</v>
      </c>
      <c r="B23" s="35">
        <v>46009</v>
      </c>
      <c r="C23" s="35">
        <v>46009</v>
      </c>
      <c r="D23" s="35" t="s">
        <v>67</v>
      </c>
      <c r="E23" s="36">
        <v>1</v>
      </c>
      <c r="G23" s="37"/>
      <c r="H23" s="37"/>
      <c r="I23" s="37"/>
      <c r="J23" s="37"/>
      <c r="K23" s="37"/>
      <c r="L23" s="26"/>
      <c r="M23" s="26"/>
      <c r="N23" s="19"/>
      <c r="O23" s="19"/>
      <c r="P23" s="49"/>
      <c r="Q23" s="49"/>
      <c r="R23" s="49"/>
      <c r="S23" s="50"/>
      <c r="T23" s="50"/>
      <c r="U23" s="20"/>
      <c r="V23" s="19"/>
      <c r="W23" s="19"/>
      <c r="X23" s="19"/>
      <c r="Y23" s="19"/>
      <c r="Z23" s="50"/>
      <c r="AA23" s="50"/>
      <c r="AB23" s="19"/>
      <c r="AC23" s="19"/>
      <c r="AD23" s="19"/>
      <c r="AE23" s="19"/>
      <c r="AF23" s="19"/>
      <c r="AG23" s="50"/>
      <c r="AH23" s="50"/>
      <c r="AI23" s="51"/>
      <c r="AJ23" s="19"/>
      <c r="AK23" s="45"/>
      <c r="AL23" s="19"/>
      <c r="AM23" s="51"/>
      <c r="AN23" s="50"/>
      <c r="AO23" s="50"/>
      <c r="AP23" s="51"/>
      <c r="AQ23" s="51"/>
      <c r="AR23" s="19"/>
      <c r="AS23" s="19"/>
      <c r="AT23" s="51"/>
      <c r="AU23" s="50"/>
      <c r="AV23" s="50"/>
      <c r="AW23" s="51"/>
      <c r="AX23" s="51"/>
      <c r="AY23" s="19"/>
      <c r="AZ23" s="19"/>
      <c r="BA23" s="51"/>
    </row>
    <row r="24" spans="1:53" x14ac:dyDescent="0.35">
      <c r="A24" s="20" t="s">
        <v>101</v>
      </c>
      <c r="B24" s="35">
        <v>46010</v>
      </c>
      <c r="C24" s="35">
        <v>46010</v>
      </c>
      <c r="D24" s="35" t="s">
        <v>70</v>
      </c>
      <c r="E24" s="36">
        <v>1</v>
      </c>
      <c r="G24" s="37"/>
      <c r="H24" s="37"/>
      <c r="I24" s="37"/>
      <c r="J24" s="37"/>
      <c r="K24" s="37"/>
      <c r="L24" s="26"/>
      <c r="M24" s="26"/>
      <c r="N24" s="19"/>
      <c r="O24" s="19"/>
      <c r="P24" s="49"/>
      <c r="Q24" s="49"/>
      <c r="R24" s="49"/>
      <c r="S24" s="50"/>
      <c r="T24" s="50"/>
      <c r="U24" s="20"/>
      <c r="V24" s="19"/>
      <c r="W24" s="19"/>
      <c r="X24" s="19"/>
      <c r="Y24" s="19"/>
      <c r="Z24" s="50"/>
      <c r="AA24" s="50"/>
      <c r="AB24" s="19"/>
      <c r="AC24" s="19"/>
      <c r="AD24" s="19"/>
      <c r="AE24" s="19"/>
      <c r="AF24" s="19"/>
      <c r="AG24" s="50"/>
      <c r="AH24" s="50"/>
      <c r="AI24" s="51"/>
      <c r="AK24" s="19"/>
      <c r="AL24" s="45"/>
      <c r="AM24" s="51"/>
      <c r="AN24" s="50"/>
      <c r="AO24" s="50"/>
      <c r="AP24" s="51"/>
      <c r="AQ24" s="51"/>
      <c r="AR24" s="19"/>
      <c r="AS24" s="19"/>
      <c r="AT24" s="51"/>
      <c r="AU24" s="50"/>
      <c r="AV24" s="50"/>
      <c r="AW24" s="51"/>
      <c r="AX24" s="51"/>
      <c r="AY24" s="19"/>
      <c r="AZ24" s="19"/>
      <c r="BA24" s="51"/>
    </row>
    <row r="25" spans="1:53" x14ac:dyDescent="0.35">
      <c r="A25" s="41" t="s">
        <v>102</v>
      </c>
      <c r="B25" s="56">
        <v>46021</v>
      </c>
      <c r="C25" s="56">
        <v>46021</v>
      </c>
      <c r="D25" s="56" t="s">
        <v>103</v>
      </c>
      <c r="E25" s="36">
        <v>1</v>
      </c>
      <c r="G25" s="37"/>
      <c r="H25" s="37"/>
      <c r="I25" s="37"/>
      <c r="J25" s="37"/>
      <c r="K25" s="37"/>
      <c r="L25" s="26"/>
      <c r="M25" s="26"/>
      <c r="N25" s="19"/>
      <c r="O25" s="19"/>
      <c r="P25" s="49"/>
      <c r="Q25" s="49"/>
      <c r="R25" s="49"/>
      <c r="S25" s="50"/>
      <c r="T25" s="50"/>
      <c r="U25" s="20"/>
      <c r="V25" s="19"/>
      <c r="W25" s="19"/>
      <c r="X25" s="19"/>
      <c r="Y25" s="19"/>
      <c r="Z25" s="50"/>
      <c r="AA25" s="50"/>
      <c r="AB25" s="19"/>
      <c r="AC25" s="19"/>
      <c r="AD25" s="19"/>
      <c r="AE25" s="19"/>
      <c r="AF25" s="19"/>
      <c r="AG25" s="50"/>
      <c r="AH25" s="50"/>
      <c r="AI25" s="51"/>
      <c r="AJ25" s="51"/>
      <c r="AK25" s="19"/>
      <c r="AL25" s="19"/>
      <c r="AM25" s="51"/>
      <c r="AN25" s="50"/>
      <c r="AO25" s="50"/>
      <c r="AP25" s="51"/>
      <c r="AQ25" s="51"/>
      <c r="AR25" s="19"/>
      <c r="AS25" s="19"/>
      <c r="AT25" s="51"/>
      <c r="AU25" s="50"/>
      <c r="AV25" s="50"/>
      <c r="AW25" s="51"/>
      <c r="AX25" s="45"/>
      <c r="AY25" s="19"/>
      <c r="AZ25" s="19"/>
      <c r="BA25" s="51"/>
    </row>
    <row r="26" spans="1:53" x14ac:dyDescent="0.35">
      <c r="A26" s="20" t="s">
        <v>104</v>
      </c>
      <c r="B26" s="35"/>
      <c r="C26" s="35"/>
      <c r="D26" s="35"/>
      <c r="E26" s="36"/>
      <c r="G26" s="37"/>
      <c r="H26" s="37"/>
      <c r="I26" s="37"/>
      <c r="J26" s="37"/>
      <c r="K26" s="37"/>
      <c r="L26" s="26"/>
      <c r="M26" s="26"/>
      <c r="N26" s="19"/>
      <c r="O26" s="19"/>
      <c r="P26" s="49"/>
      <c r="Q26" s="49"/>
      <c r="R26" s="49"/>
      <c r="S26" s="50"/>
      <c r="T26" s="50"/>
      <c r="U26" s="20"/>
      <c r="V26" s="19"/>
      <c r="W26" s="19"/>
      <c r="X26" s="19"/>
      <c r="Y26" s="19"/>
      <c r="Z26" s="50"/>
      <c r="AA26" s="50"/>
      <c r="AB26" s="19"/>
      <c r="AC26" s="19"/>
      <c r="AD26" s="19"/>
      <c r="AE26" s="19"/>
      <c r="AF26" s="19"/>
      <c r="AG26" s="50"/>
      <c r="AH26" s="50"/>
      <c r="AI26" s="51"/>
      <c r="AJ26" s="51"/>
      <c r="AK26" s="19"/>
      <c r="AL26" s="19"/>
      <c r="AM26" s="51"/>
      <c r="AN26" s="50"/>
      <c r="AO26" s="50"/>
      <c r="AP26" s="51"/>
      <c r="AQ26" s="51"/>
      <c r="AR26" s="19"/>
      <c r="AS26" s="19"/>
      <c r="AT26" s="51"/>
      <c r="AU26" s="50"/>
      <c r="AV26" s="50"/>
      <c r="AW26" s="51"/>
      <c r="AX26" s="51"/>
      <c r="AY26" s="19"/>
      <c r="AZ26" s="19"/>
      <c r="BA26" s="51"/>
    </row>
    <row r="27" spans="1:53" x14ac:dyDescent="0.35">
      <c r="A27" s="20" t="s">
        <v>105</v>
      </c>
      <c r="B27" s="35">
        <v>45648</v>
      </c>
      <c r="C27" s="35">
        <v>45649</v>
      </c>
      <c r="D27" s="35" t="s">
        <v>106</v>
      </c>
      <c r="E27" s="36">
        <v>1</v>
      </c>
      <c r="G27" s="37"/>
      <c r="H27" s="37"/>
      <c r="I27" s="37"/>
      <c r="J27" s="37"/>
      <c r="K27" s="37"/>
      <c r="L27" s="26"/>
      <c r="M27" s="26"/>
      <c r="N27" s="19"/>
      <c r="O27" s="19"/>
      <c r="P27" s="49"/>
      <c r="Q27" s="49"/>
      <c r="R27" s="49"/>
      <c r="S27" s="50"/>
      <c r="T27" s="50"/>
      <c r="U27" s="20"/>
      <c r="V27" s="19"/>
      <c r="W27" s="19"/>
      <c r="X27" s="19"/>
      <c r="Y27" s="19"/>
      <c r="Z27" s="50"/>
      <c r="AA27" s="50"/>
      <c r="AB27" s="19"/>
      <c r="AC27" s="19"/>
      <c r="AD27" s="19"/>
      <c r="AE27" s="19"/>
      <c r="AF27" s="19"/>
      <c r="AG27" s="50"/>
      <c r="AH27" s="50"/>
      <c r="AI27" s="51"/>
      <c r="AJ27" s="51"/>
      <c r="AK27" s="19"/>
      <c r="AL27" s="19"/>
      <c r="AM27" s="19"/>
      <c r="AN27" s="50"/>
      <c r="AO27" s="50"/>
      <c r="AP27" s="45"/>
      <c r="AQ27" s="45"/>
      <c r="AR27" s="19"/>
      <c r="AS27" s="19"/>
      <c r="AT27" s="51"/>
      <c r="AU27" s="50"/>
      <c r="AV27" s="50"/>
      <c r="AW27" s="19"/>
      <c r="AX27" s="19"/>
      <c r="AY27" s="19"/>
      <c r="AZ27" s="19"/>
      <c r="BA27" s="51"/>
    </row>
  </sheetData>
  <mergeCells count="8">
    <mergeCell ref="AP2:AT2"/>
    <mergeCell ref="AW2:BA2"/>
    <mergeCell ref="B2:C2"/>
    <mergeCell ref="G2:K2"/>
    <mergeCell ref="N2:R2"/>
    <mergeCell ref="U2:Y2"/>
    <mergeCell ref="AB2:AF2"/>
    <mergeCell ref="AI2:AM2"/>
  </mergeCell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PCS workstreams</vt:lpstr>
      <vt:lpstr>SRM downstream</vt:lpstr>
      <vt:lpstr>Impacted Apps</vt:lpstr>
      <vt:lpstr>ASCO</vt:lpstr>
      <vt:lpstr>example - testing timeline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Ritter, Frances</dc:creator>
  <cp:keywords/>
  <dc:description/>
  <cp:lastModifiedBy>Singh chauhan, Pawan pratap</cp:lastModifiedBy>
  <cp:revision/>
  <dcterms:created xsi:type="dcterms:W3CDTF">2025-12-22T14:28:56Z</dcterms:created>
  <dcterms:modified xsi:type="dcterms:W3CDTF">2026-04-02T12:25:10Z</dcterms:modified>
  <cp:category/>
  <cp:contentStatus/>
</cp:coreProperties>
</file>