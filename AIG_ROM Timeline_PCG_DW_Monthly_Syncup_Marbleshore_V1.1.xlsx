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autoCompressPictures="0"/>
  <xr:revisionPtr revIDLastSave="0" documentId="8_{E299A041-9D92-4904-8357-9D705997F9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rbleshore" sheetId="16" r:id="rId1"/>
    <sheet name="Monthly file PCG-DW- 2 LOBS" sheetId="2" state="hidden" r:id="rId2"/>
    <sheet name="Assumptions" sheetId="3" r:id="rId3"/>
    <sheet name="Option 2 - PCS Data" sheetId="1" state="hidden" r:id="rId4"/>
  </sheets>
  <definedNames>
    <definedName name="Actual" localSheetId="0">(Marbleshore!PeriodInActual*(Marbleshore!$E1&gt;0))*Marbleshore!PeriodInPlan</definedName>
    <definedName name="Actual" localSheetId="1">('Monthly file PCG-DW- 2 LOBS'!PeriodInActual*('Monthly file PCG-DW- 2 LOBS'!$E1&gt;0))*'Monthly file PCG-DW- 2 LOBS'!PeriodInPlan</definedName>
    <definedName name="Actual">(PeriodInActual*('Option 2 - PCS Data'!$E1&gt;0))*PeriodInPlan</definedName>
    <definedName name="ActualBeyond" localSheetId="0">Marbleshore!PeriodInActual*(Marbleshore!$E1&gt;0)</definedName>
    <definedName name="ActualBeyond" localSheetId="1">'Monthly file PCG-DW- 2 LOBS'!PeriodInActual*('Monthly file PCG-DW- 2 LOBS'!$E1&gt;0)</definedName>
    <definedName name="ActualBeyond">PeriodInActual*('Option 2 - PCS Data'!$E1&gt;0)</definedName>
    <definedName name="PercentComplete" localSheetId="0">Marbleshore!PercentCompleteBeyond*Marbleshore!PeriodInPlan</definedName>
    <definedName name="PercentComplete" localSheetId="1">'Monthly file PCG-DW- 2 LOBS'!PercentCompleteBeyond*'Monthly file PCG-DW- 2 LOBS'!PeriodInPlan</definedName>
    <definedName name="PercentComplete">PercentCompleteBeyond*PeriodInPlan</definedName>
    <definedName name="PercentCompleteBeyond" localSheetId="0">(Marbleshore!A$6=MEDIAN(Marbleshore!A$6,Marbleshore!$E1,Marbleshore!$E1+Marbleshore!$F1)*(Marbleshore!$E1&gt;0))*((Marbleshore!A$6&lt;(INT(Marbleshore!$E1+Marbleshore!$F1*Marbleshore!$G1)))+(Marbleshore!A$6=Marbleshore!$E1))*(Marbleshore!$G1&gt;0)</definedName>
    <definedName name="PercentCompleteBeyond" localSheetId="1">('Monthly file PCG-DW- 2 LOBS'!A$5=MEDIAN('Monthly file PCG-DW- 2 LOBS'!A$5,'Monthly file PCG-DW- 2 LOBS'!$E1,'Monthly file PCG-DW- 2 LOBS'!$E1+'Monthly file PCG-DW- 2 LOBS'!$F1)*('Monthly file PCG-DW- 2 LOBS'!$E1&gt;0))*(('Monthly file PCG-DW- 2 LOBS'!A$5&lt;(INT('Monthly file PCG-DW- 2 LOBS'!$E1+'Monthly file PCG-DW- 2 LOBS'!$F1*'Monthly file PCG-DW- 2 LOBS'!$G1)))+('Monthly file PCG-DW- 2 LOBS'!A$5='Monthly file PCG-DW- 2 LOBS'!$E1))*('Monthly file PCG-DW- 2 LOBS'!$G1&gt;0)</definedName>
    <definedName name="PercentCompleteBeyond">('Option 2 - PCS Data'!A$5=MEDIAN('Option 2 - PCS Data'!A$5,'Option 2 - PCS Data'!$E1,'Option 2 - PCS Data'!$E1+'Option 2 - PCS Data'!$F1)*('Option 2 - PCS Data'!$E1&gt;0))*(('Option 2 - PCS Data'!A$5&lt;(INT('Option 2 - PCS Data'!$E1+'Option 2 - PCS Data'!$F1*'Option 2 - PCS Data'!$G1)))+('Option 2 - PCS Data'!A$5='Option 2 - PCS Data'!$E1))*('Option 2 - PCS Data'!$G1&gt;0)</definedName>
    <definedName name="period_selected" localSheetId="0">Marbleshore!$H$2</definedName>
    <definedName name="period_selected" localSheetId="1">'Monthly file PCG-DW- 2 LOBS'!$H$2</definedName>
    <definedName name="period_selected">'Option 2 - PCS Data'!$H$2</definedName>
    <definedName name="PeriodInActual" localSheetId="0">Marbleshore!A$6=MEDIAN(Marbleshore!A$6,Marbleshore!$E1,Marbleshore!$E1+Marbleshore!$F1-1)</definedName>
    <definedName name="PeriodInActual" localSheetId="1">'Monthly file PCG-DW- 2 LOBS'!A$5=MEDIAN('Monthly file PCG-DW- 2 LOBS'!A$5,'Monthly file PCG-DW- 2 LOBS'!$E1,'Monthly file PCG-DW- 2 LOBS'!$E1+'Monthly file PCG-DW- 2 LOBS'!$F1-1)</definedName>
    <definedName name="PeriodInActual">'Option 2 - PCS Data'!A$5=MEDIAN('Option 2 - PCS Data'!A$5,'Option 2 - PCS Data'!$E1,'Option 2 - PCS Data'!$E1+'Option 2 - PCS Data'!$F1-1)</definedName>
    <definedName name="PeriodInPlan" localSheetId="0">Marbleshore!A$6=MEDIAN(Marbleshore!A$6,Marbleshore!$C1,Marbleshore!$C1+Marbleshore!$D1-1)</definedName>
    <definedName name="PeriodInPlan" localSheetId="1">'Monthly file PCG-DW- 2 LOBS'!A$5=MEDIAN('Monthly file PCG-DW- 2 LOBS'!A$5,'Monthly file PCG-DW- 2 LOBS'!$C1,'Monthly file PCG-DW- 2 LOBS'!$C1+'Monthly file PCG-DW- 2 LOBS'!$D1-1)</definedName>
    <definedName name="PeriodInPlan">'Option 2 - PCS Data'!A$5=MEDIAN('Option 2 - PCS Data'!A$5,'Option 2 - PCS Data'!$C1,'Option 2 - PCS Data'!$C1+'Option 2 - PCS Data'!$D1-1)</definedName>
    <definedName name="Plan" localSheetId="0">Marbleshore!PeriodInPlan*(Marbleshore!$C1&gt;0)</definedName>
    <definedName name="Plan" localSheetId="1">'Monthly file PCG-DW- 2 LOBS'!PeriodInPlan*('Monthly file PCG-DW- 2 LOBS'!$C1&gt;0)</definedName>
    <definedName name="Plan">PeriodInPlan*('Option 2 - PCS Data'!$C1&gt;0)</definedName>
    <definedName name="_xlnm.Print_Titles" localSheetId="0">Marbleshore!$3:$6</definedName>
    <definedName name="_xlnm.Print_Titles" localSheetId="1">'Monthly file PCG-DW- 2 LOBS'!$3:$5</definedName>
    <definedName name="_xlnm.Print_Titles" localSheetId="3">'Option 2 - PCS Data'!$3:$5</definedName>
    <definedName name="TitleRegion..BO60" localSheetId="0">Marbleshore!$B$3:$B$6</definedName>
    <definedName name="TitleRegion..BO60" localSheetId="1">'Monthly file PCG-DW- 2 LOBS'!$B$3:$B$5</definedName>
    <definedName name="TitleRegion..BO60">'Option 2 - PCS Data'!$B$3:$B$5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5" i="16" l="1"/>
  <c r="J5" i="16" s="1"/>
  <c r="K5" i="16" s="1"/>
  <c r="L5" i="16" s="1"/>
  <c r="M5" i="16" s="1"/>
  <c r="N5" i="16" s="1"/>
  <c r="O5" i="16" s="1"/>
  <c r="P5" i="16" s="1"/>
  <c r="Q5" i="16" s="1"/>
  <c r="R5" i="16" s="1"/>
  <c r="S5" i="16" s="1"/>
  <c r="T5" i="16" s="1"/>
  <c r="U5" i="16" s="1"/>
  <c r="V5" i="16" s="1"/>
  <c r="W5" i="16" s="1"/>
  <c r="X5" i="16" s="1"/>
  <c r="Y5" i="16" s="1"/>
  <c r="Z5" i="16" s="1"/>
  <c r="AA5" i="16" s="1"/>
  <c r="AB5" i="16" s="1"/>
  <c r="AC5" i="16" s="1"/>
  <c r="AD5" i="16" s="1"/>
  <c r="AE5" i="16" s="1"/>
  <c r="AF5" i="16" s="1"/>
  <c r="AG5" i="16" s="1"/>
  <c r="AH5" i="16" s="1"/>
  <c r="AI5" i="16" s="1"/>
  <c r="AJ5" i="16" s="1"/>
  <c r="AK5" i="16" s="1"/>
  <c r="AL5" i="16" s="1"/>
  <c r="AM5" i="16" s="1"/>
  <c r="AN5" i="16" s="1"/>
  <c r="AO5" i="16" s="1"/>
  <c r="AP5" i="16" s="1"/>
  <c r="AQ5" i="16" s="1"/>
  <c r="AR5" i="16" s="1"/>
  <c r="AS5" i="16" s="1"/>
  <c r="AT5" i="16" s="1"/>
  <c r="AU5" i="16" s="1"/>
  <c r="AV5" i="16" s="1"/>
  <c r="AW5" i="16" s="1"/>
  <c r="AX5" i="16" s="1"/>
  <c r="AY5" i="16" s="1"/>
  <c r="AZ5" i="16" s="1"/>
  <c r="BA5" i="16" s="1"/>
  <c r="BB5" i="16" s="1"/>
  <c r="BC5" i="16" s="1"/>
  <c r="BD5" i="16" s="1"/>
  <c r="BE5" i="16" s="1"/>
  <c r="BF5" i="16" s="1"/>
  <c r="BG5" i="16" s="1"/>
  <c r="D6" i="1"/>
  <c r="D14" i="1" l="1"/>
  <c r="D10" i="1"/>
  <c r="D9" i="1"/>
  <c r="D8" i="1"/>
  <c r="D7" i="1"/>
</calcChain>
</file>

<file path=xl/sharedStrings.xml><?xml version="1.0" encoding="utf-8"?>
<sst xmlns="http://schemas.openxmlformats.org/spreadsheetml/2006/main" count="164" uniqueCount="106">
  <si>
    <t xml:space="preserve">Addition of Marbleshore UW Company to existing Monthly data sync-up </t>
  </si>
  <si>
    <t>Select a period to highlight at right.  A legend describing the charting follows.</t>
  </si>
  <si>
    <t xml:space="preserve"> Curr. Period: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</si>
  <si>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</si>
  <si>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</si>
  <si>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</si>
  <si>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</si>
  <si>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</si>
  <si>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ACTIVITY</t>
  </si>
  <si>
    <t>PLAN START</t>
  </si>
  <si>
    <t>PLAN DURATION</t>
  </si>
  <si>
    <t>ACTUAL START</t>
  </si>
  <si>
    <t>ACTUAL DURATION</t>
  </si>
  <si>
    <t>PERCENT COMPLETE</t>
  </si>
  <si>
    <t>PERIODS (Weeks)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</si>
  <si>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</si>
  <si>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</si>
  <si>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</si>
  <si>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</si>
  <si>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</si>
  <si>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</si>
  <si>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</si>
  <si>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</si>
  <si>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</si>
  <si>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</si>
  <si>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</si>
  <si>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</si>
  <si>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Requirement gathering and impact analysis to understand scope of  Tables, Store procedures, Cognos report and Downstream feeds</t>
  </si>
  <si>
    <t>Design - To Integrate Marbleshore UW Company to existing Monthly data sync-up process</t>
  </si>
  <si>
    <t>Design/approach to exclude sync up for Transactions data, PCS Commission rate &amp; amounts. Apply extra logic to sync up AIG commission rate and amounts</t>
  </si>
  <si>
    <t>PCS - ETL Build and UT for Monthly Sync up</t>
  </si>
  <si>
    <t>PCG - ETL Build and UT for Monthly Sync up</t>
  </si>
  <si>
    <t>PCG Build: One time configuration for addition of Marbleshore UW in reference tables</t>
  </si>
  <si>
    <t>PCS In-sprint testing (#4)</t>
  </si>
  <si>
    <t>PCG In-sprint testing (#5 , #6)</t>
  </si>
  <si>
    <t>Build &amp; UT: Stored Procedure changes (summary tables to include Marbleshore UW)</t>
  </si>
  <si>
    <t>PCG In-sprint testing : Store Procedure Changes (#9)</t>
  </si>
  <si>
    <t>Cognos Reports - Build and UT</t>
  </si>
  <si>
    <t>Cognos Reports - In-sprint testing (#11)</t>
  </si>
  <si>
    <t>Downstream feeds ehnacement (SRM &amp; NASH feed) - Build and UT</t>
  </si>
  <si>
    <t>SRM &amp; NASH - In Sprint Testing (#13)</t>
  </si>
  <si>
    <t>E2E testing : PCS to PCG DW Sync up - Base tables</t>
  </si>
  <si>
    <t>E2E testing : Summary tables</t>
  </si>
  <si>
    <t>E2E testing : Cognos Reports</t>
  </si>
  <si>
    <t>E2E testing - SRM  &amp; NASH</t>
  </si>
  <si>
    <t>UAT  (Cognos Reports &amp; Downstream feeds)</t>
  </si>
  <si>
    <t xml:space="preserve">PROD Migration </t>
  </si>
  <si>
    <t>Post Production validations and Operations support</t>
  </si>
  <si>
    <t>Collections /Yachts - monthly feed to PCG-DW</t>
  </si>
  <si>
    <t>Mobilize (DWH inventory scope, Resource on-boarding, Activities plan &amp; timeline)</t>
  </si>
  <si>
    <t>PCS Design - Incremental Refresh for Instanda source system data</t>
  </si>
  <si>
    <t>PCG Design- Incremental Refresh for Instanda source system data (Merge process at AIG)</t>
  </si>
  <si>
    <t>Design/approach to exclude sync up for Transactions data, Third party Commission rate &amp; amounts. Apply extra logic to sync up AIG commission rate and amounts</t>
  </si>
  <si>
    <t>PCG Design- Exclude Instanda data for PCG to PCS sync up</t>
  </si>
  <si>
    <t>PCS Design- Exclude Instanda data for SDG Claims and DC Installments, Comission Producer</t>
  </si>
  <si>
    <t>PCS Build and UT (#2 to #4)</t>
  </si>
  <si>
    <t>PCS In-sprint testing (#1 to #4)</t>
  </si>
  <si>
    <t>PCG Build and UT (#2 to #4)</t>
  </si>
  <si>
    <t>PCG In-sprint testing (#1 to #4)</t>
  </si>
  <si>
    <t>PCG Build: One time configuration for policy transaction types</t>
  </si>
  <si>
    <t>PCG Build: Analysis and Stored Procedure changes (summary tables to include Instanda data)</t>
  </si>
  <si>
    <t>PCG In-sprint testing (#7)</t>
  </si>
  <si>
    <t>Cognos Reports - Analysis, Build and UT</t>
  </si>
  <si>
    <t>Cognos Reports - In-sprint testing</t>
  </si>
  <si>
    <t>Downstream feeds ehnacement  (SRM, NASH, SMR, Yacht &amp; Collections In-force files)</t>
  </si>
  <si>
    <t>Downstream feeds Testing &amp; Validation (SRM, NASH, SMR, Yacht &amp; Collections In-force files)</t>
  </si>
  <si>
    <t>SIT testing</t>
  </si>
  <si>
    <t>UAT testing</t>
  </si>
  <si>
    <t>Dark mode release/Pre-Prod (if applicable) - Speak with Vinoth</t>
  </si>
  <si>
    <t>PROD (Migration and exeuction)</t>
  </si>
  <si>
    <t>Post Production validations and Warranty support</t>
  </si>
  <si>
    <t>Assumptions</t>
  </si>
  <si>
    <t>item</t>
  </si>
  <si>
    <t>description</t>
  </si>
  <si>
    <t>PCG to PCS incremental data sync-up approach will be followed for the monthly data sync up between PCS DWH to PCG DWH base tables for the identified Yacht &amp; Collections related tables for Instanda Source system data only.</t>
  </si>
  <si>
    <t>Assumes the solution of delta records identification process does not require structural changes.</t>
  </si>
  <si>
    <t>Any new report or modification of reports and building new downstream feeds will be considered a CR.</t>
  </si>
  <si>
    <t>Assumes End to End testing will be coordinated by program level testing team, data team will be responsible to test only DWH changes .</t>
  </si>
  <si>
    <t>Required environmental, administrative, and infrastructure support for the upcoming releases will be provided by AIG.</t>
  </si>
  <si>
    <t>Project Planner</t>
  </si>
  <si>
    <t>Data Requirements for Booking &amp; PCG DWH Downstream</t>
  </si>
  <si>
    <t>Defne new Landing Format and map to ODS Structures and send data to PCG-DWH</t>
  </si>
  <si>
    <t>Map new Data to PR input</t>
  </si>
  <si>
    <t>Update Claims Validation to use new BDX Data</t>
  </si>
  <si>
    <t>Read new BDX Staging data and map into Existing PCG-DWH Tables</t>
  </si>
  <si>
    <t>Re-Insurance Extracts from PCG-DWH for SRM and PCG Jet may need to be enhanced</t>
  </si>
  <si>
    <t>Synch-Back of PCG-DWH Data to PCS needs to enhanced to exclude any new BDX Policy Data</t>
  </si>
  <si>
    <t xml:space="preserve">PCS Data Enhance the Home Product TICO Extracts to use new BDX data </t>
  </si>
  <si>
    <t>PCS Data has to create the Regulatory Reporting data from the BDX formats for Auto Products</t>
  </si>
  <si>
    <t>Activity 10</t>
  </si>
  <si>
    <t>Activity 11</t>
  </si>
  <si>
    <t>Activity 12</t>
  </si>
  <si>
    <t>Activity 13</t>
  </si>
  <si>
    <t>Activity 14</t>
  </si>
  <si>
    <t>Activity 15</t>
  </si>
  <si>
    <t>Activity 16</t>
  </si>
  <si>
    <t>Activity 17</t>
  </si>
  <si>
    <t>Activity 18</t>
  </si>
  <si>
    <t>Activity 19</t>
  </si>
  <si>
    <t>Activity 20</t>
  </si>
  <si>
    <t>Activity 21</t>
  </si>
  <si>
    <t>Activity 22</t>
  </si>
  <si>
    <t>Activity 23</t>
  </si>
  <si>
    <t>Activity 24</t>
  </si>
  <si>
    <t>Activity 25</t>
  </si>
  <si>
    <t>Activity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</si>
</sst>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19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0"/>
      <color theme="1" tint="0.24994659260841701"/>
      <name val="Calibri"/>
      <family val="2"/>
    </font>
    <font>
      <i/>
      <sz val="9"/>
      <color theme="7"/>
      <name val="Calibri"/>
      <family val="2"/>
      <scheme val="minor"/>
    </font>
    <font>
      <sz val="10"/>
      <color theme="1" tint="0.24994659260841701"/>
      <name val="Calibri"/>
      <family val="2"/>
    </font>
    <font>
      <b/>
      <sz val="10"/>
      <color theme="7"/>
      <name val="Calibri"/>
      <family val="2"/>
    </font>
    <font>
      <sz val="8"/>
      <name val="Corbel"/>
      <family val="2"/>
      <scheme val="major"/>
    </font>
    <font>
      <b/>
      <sz val="18"/>
      <color theme="7"/>
      <name val="Corbel"/>
      <family val="2"/>
      <scheme val="major"/>
    </font>
    <font>
      <b/>
      <sz val="18"/>
      <color rgb="FF735773"/>
      <name val="Corbel"/>
      <family val="2"/>
      <scheme val="major"/>
    </font>
    <font>
      <b/>
      <sz val="10"/>
      <color rgb="FF404040"/>
      <name val="Calibri"/>
    </font>
  </fonts>
  <fills count="15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lightUp">
        <fgColor theme="4" tint="-0.2499465926084170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5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7" fillId="0" borderId="2" applyFill="0" applyProtection="0">
      <alignment horizontal="center"/>
    </xf>
    <xf numFmtId="0" fontId="7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6" fillId="6" borderId="1" applyNumberFormat="0" applyProtection="0">
      <alignment horizontal="left" vertical="center"/>
    </xf>
    <xf numFmtId="0" fontId="5" fillId="0" borderId="0" applyNumberFormat="0" applyFill="0" applyBorder="0" applyProtection="0">
      <alignment vertical="center"/>
    </xf>
    <xf numFmtId="0" fontId="7" fillId="0" borderId="0" applyFill="0" applyProtection="0">
      <alignment vertical="center"/>
    </xf>
    <xf numFmtId="0" fontId="7" fillId="0" borderId="0" applyFill="0" applyProtection="0">
      <alignment horizontal="center" vertical="center" wrapText="1"/>
    </xf>
    <xf numFmtId="0" fontId="7" fillId="0" borderId="0" applyFill="0" applyProtection="0">
      <alignment horizontal="left"/>
    </xf>
    <xf numFmtId="0" fontId="9" fillId="0" borderId="0" applyNumberFormat="0" applyFill="0" applyBorder="0" applyProtection="0">
      <alignment vertical="center"/>
    </xf>
    <xf numFmtId="1" fontId="10" fillId="6" borderId="1">
      <alignment horizontal="center" vertical="center"/>
    </xf>
    <xf numFmtId="0" fontId="8" fillId="2" borderId="4" applyNumberFormat="0" applyFont="0" applyAlignment="0">
      <alignment horizontal="center"/>
    </xf>
    <xf numFmtId="0" fontId="8" fillId="3" borderId="3" applyNumberFormat="0" applyFont="0" applyAlignment="0">
      <alignment horizontal="center"/>
    </xf>
    <xf numFmtId="0" fontId="8" fillId="4" borderId="3" applyNumberFormat="0" applyFont="0" applyAlignment="0">
      <alignment horizontal="center"/>
    </xf>
    <xf numFmtId="0" fontId="8" fillId="5" borderId="3" applyNumberFormat="0" applyFont="0" applyAlignment="0">
      <alignment horizontal="center"/>
    </xf>
    <xf numFmtId="0" fontId="8" fillId="7" borderId="3" applyNumberFormat="0" applyFont="0" applyAlignment="0">
      <alignment horizontal="center"/>
    </xf>
  </cellStyleXfs>
  <cellXfs count="68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9" fontId="3" fillId="0" borderId="0" xfId="6">
      <alignment horizontal="center" vertical="center"/>
    </xf>
    <xf numFmtId="0" fontId="6" fillId="6" borderId="1" xfId="7">
      <alignment horizontal="left" vertical="center"/>
    </xf>
    <xf numFmtId="0" fontId="7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5" fillId="0" borderId="0" xfId="1" applyAlignment="1">
      <alignment horizontal="center"/>
    </xf>
    <xf numFmtId="1" fontId="10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7" fillId="0" borderId="0" xfId="11">
      <alignment horizontal="left"/>
    </xf>
    <xf numFmtId="0" fontId="9" fillId="0" borderId="0" xfId="12">
      <alignment vertical="center"/>
    </xf>
    <xf numFmtId="0" fontId="11" fillId="0" borderId="0" xfId="2" applyFont="1" applyAlignment="1">
      <alignment horizontal="left" vertical="center" wrapText="1"/>
    </xf>
    <xf numFmtId="0" fontId="4" fillId="0" borderId="0" xfId="0" applyFont="1">
      <alignment horizontal="center" vertical="center"/>
    </xf>
    <xf numFmtId="0" fontId="12" fillId="0" borderId="0" xfId="12" applyFont="1">
      <alignment vertical="center"/>
    </xf>
    <xf numFmtId="0" fontId="13" fillId="0" borderId="0" xfId="0" applyFont="1">
      <alignment horizontal="center" vertical="center"/>
    </xf>
    <xf numFmtId="0" fontId="13" fillId="0" borderId="0" xfId="0" quotePrefix="1" applyFont="1">
      <alignment horizontal="center" vertical="center"/>
    </xf>
    <xf numFmtId="9" fontId="14" fillId="0" borderId="0" xfId="6" applyFont="1">
      <alignment horizontal="center" vertical="center"/>
    </xf>
    <xf numFmtId="0" fontId="10" fillId="0" borderId="0" xfId="0" applyFont="1">
      <alignment horizontal="center" vertical="center"/>
    </xf>
    <xf numFmtId="3" fontId="7" fillId="0" borderId="11" xfId="3" applyBorder="1">
      <alignment horizontal="center"/>
    </xf>
    <xf numFmtId="3" fontId="7" fillId="0" borderId="12" xfId="3" applyBorder="1">
      <alignment horizontal="center"/>
    </xf>
    <xf numFmtId="3" fontId="7" fillId="0" borderId="13" xfId="3" applyBorder="1">
      <alignment horizontal="center"/>
    </xf>
    <xf numFmtId="0" fontId="6" fillId="6" borderId="1" xfId="7" applyAlignment="1">
      <alignment horizontal="right" vertical="center"/>
    </xf>
    <xf numFmtId="0" fontId="16" fillId="0" borderId="0" xfId="8" applyFont="1">
      <alignment vertical="center"/>
    </xf>
    <xf numFmtId="0" fontId="0" fillId="8" borderId="4" xfId="14" applyFont="1" applyFill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3" fillId="0" borderId="0" xfId="0" applyFont="1" applyFill="1">
      <alignment horizontal="center" vertical="center"/>
    </xf>
    <xf numFmtId="0" fontId="13" fillId="9" borderId="0" xfId="0" applyFont="1" applyFill="1">
      <alignment horizontal="center" vertical="center"/>
    </xf>
    <xf numFmtId="0" fontId="11" fillId="10" borderId="0" xfId="2" applyFont="1" applyFill="1" applyAlignment="1">
      <alignment horizontal="left" vertical="center" wrapText="1"/>
    </xf>
    <xf numFmtId="3" fontId="7" fillId="0" borderId="0" xfId="3" applyBorder="1">
      <alignment horizontal="center"/>
    </xf>
    <xf numFmtId="0" fontId="0" fillId="3" borderId="0" xfId="15" applyFont="1" applyBorder="1" applyAlignment="1">
      <alignment horizontal="center"/>
    </xf>
    <xf numFmtId="0" fontId="0" fillId="0" borderId="15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164" fontId="0" fillId="0" borderId="0" xfId="0" applyNumberFormat="1" applyBorder="1" applyAlignment="1">
      <alignment horizontal="center" wrapText="1"/>
    </xf>
    <xf numFmtId="164" fontId="0" fillId="0" borderId="15" xfId="0" applyNumberFormat="1" applyBorder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17" fillId="0" borderId="0" xfId="8" applyFont="1">
      <alignment vertical="center"/>
    </xf>
    <xf numFmtId="0" fontId="0" fillId="0" borderId="14" xfId="0" applyBorder="1">
      <alignment horizontal="center" vertical="center"/>
    </xf>
    <xf numFmtId="0" fontId="18" fillId="12" borderId="14" xfId="2" applyFont="1" applyFill="1" applyBorder="1" applyAlignment="1">
      <alignment horizontal="left" vertical="center" wrapText="1"/>
    </xf>
    <xf numFmtId="0" fontId="11" fillId="9" borderId="14" xfId="2" applyFont="1" applyFill="1" applyBorder="1" applyAlignment="1">
      <alignment horizontal="left" vertical="center" wrapText="1"/>
    </xf>
    <xf numFmtId="0" fontId="11" fillId="13" borderId="14" xfId="2" applyFont="1" applyFill="1" applyBorder="1" applyAlignment="1">
      <alignment horizontal="left" vertical="center" wrapText="1"/>
    </xf>
    <xf numFmtId="0" fontId="18" fillId="13" borderId="14" xfId="2" applyFont="1" applyFill="1" applyBorder="1" applyAlignment="1">
      <alignment horizontal="left" vertical="center" wrapText="1"/>
    </xf>
    <xf numFmtId="0" fontId="11" fillId="14" borderId="14" xfId="2" applyFont="1" applyFill="1" applyBorder="1" applyAlignment="1">
      <alignment horizontal="left" vertical="center" wrapText="1"/>
    </xf>
    <xf numFmtId="0" fontId="11" fillId="12" borderId="14" xfId="2" applyFont="1" applyFill="1" applyBorder="1" applyAlignment="1">
      <alignment horizontal="left" vertical="center" wrapText="1"/>
    </xf>
    <xf numFmtId="0" fontId="11" fillId="11" borderId="14" xfId="2" applyFont="1" applyFill="1" applyBorder="1" applyAlignment="1">
      <alignment horizontal="left" vertical="center" wrapText="1"/>
    </xf>
    <xf numFmtId="9" fontId="14" fillId="0" borderId="0" xfId="6" applyFont="1" applyFill="1">
      <alignment horizontal="center" vertical="center"/>
    </xf>
    <xf numFmtId="9" fontId="14" fillId="0" borderId="9" xfId="6" applyFont="1" applyFill="1" applyBorder="1">
      <alignment horizontal="center" vertical="center"/>
    </xf>
    <xf numFmtId="0" fontId="0" fillId="0" borderId="8" xfId="0" applyBorder="1" applyAlignment="1">
      <alignment horizontal="center" wrapText="1"/>
    </xf>
    <xf numFmtId="0" fontId="0" fillId="0" borderId="6" xfId="5" applyFont="1" applyBorder="1">
      <alignment horizontal="left" vertical="center"/>
    </xf>
    <xf numFmtId="0" fontId="7" fillId="0" borderId="0" xfId="9">
      <alignment vertical="center"/>
    </xf>
    <xf numFmtId="0" fontId="7" fillId="0" borderId="0" xfId="10">
      <alignment horizontal="center" vertical="center" wrapText="1"/>
    </xf>
    <xf numFmtId="0" fontId="4" fillId="0" borderId="6" xfId="5" applyFont="1" applyBorder="1">
      <alignment horizontal="left" vertical="center"/>
    </xf>
    <xf numFmtId="0" fontId="4" fillId="0" borderId="0" xfId="5" applyFont="1" applyBorder="1">
      <alignment horizontal="left" vertical="center"/>
    </xf>
    <xf numFmtId="0" fontId="7" fillId="0" borderId="5" xfId="10" applyBorder="1">
      <alignment horizontal="center" vertic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0" xfId="5" applyFont="1" applyBorder="1">
      <alignment horizontal="left" vertical="center"/>
    </xf>
    <xf numFmtId="0" fontId="7" fillId="0" borderId="2" xfId="9" applyBorder="1">
      <alignment vertical="center"/>
    </xf>
    <xf numFmtId="0" fontId="7" fillId="0" borderId="2" xfId="10" applyBorder="1">
      <alignment horizontal="center" vertical="center" wrapText="1"/>
    </xf>
    <xf numFmtId="0" fontId="4" fillId="0" borderId="0" xfId="5" applyFont="1">
      <alignment horizontal="left" vertical="center"/>
    </xf>
    <xf numFmtId="0" fontId="4" fillId="0" borderId="7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46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4" tint="-0.24994659260841701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CDB87-1FB1-4183-9802-E3EEA792CB88}">
  <sheetPr>
    <tabColor theme="7"/>
    <pageSetUpPr fitToPage="1"/>
  </sheetPr>
  <dimension ref="A1:BO27"/>
  <sheetViews>
    <sheetView showGridLines="0" tabSelected="1" zoomScale="70" zoomScaleNormal="70" zoomScaleSheetLayoutView="80" workbookViewId="0">
      <pane xSplit="7" ySplit="6" topLeftCell="H7" activePane="bottomRight" state="frozen"/>
      <selection pane="topRight" activeCell="H1" sqref="H1"/>
      <selection pane="bottomLeft" activeCell="A5" sqref="A5"/>
      <selection pane="bottomRight" activeCell="K13" sqref="K13"/>
    </sheetView>
  </sheetViews>
  <sheetFormatPr defaultColWidth="2.75" defaultRowHeight="17" x14ac:dyDescent="0.4"/>
  <cols>
    <col min="1" max="1" width="3" customWidth="1"/>
    <col min="2" max="2" width="67.83203125" style="2" customWidth="1"/>
    <col min="3" max="3" width="5.58203125" style="1" customWidth="1"/>
    <col min="4" max="4" width="5.5" style="1" customWidth="1"/>
    <col min="5" max="5" width="9" style="1" hidden="1" customWidth="1"/>
    <col min="6" max="6" width="10.08203125" style="1" hidden="1" customWidth="1"/>
    <col min="7" max="7" width="5.75" style="3" customWidth="1"/>
    <col min="8" max="23" width="5" style="1" customWidth="1"/>
    <col min="24" max="24" width="4.83203125" style="1" customWidth="1"/>
    <col min="25" max="26" width="5" style="1" customWidth="1"/>
    <col min="27" max="27" width="5" style="1" bestFit="1" customWidth="1"/>
    <col min="28" max="28" width="5.75" customWidth="1"/>
    <col min="29" max="29" width="6.83203125" customWidth="1"/>
    <col min="30" max="39" width="5" bestFit="1" customWidth="1"/>
    <col min="40" max="40" width="5" customWidth="1"/>
    <col min="41" max="59" width="5" bestFit="1" customWidth="1"/>
    <col min="60" max="67" width="3.33203125" bestFit="1" customWidth="1"/>
  </cols>
  <sheetData>
    <row r="1" spans="1:67" ht="24.65" customHeight="1" thickBot="1" x14ac:dyDescent="1.25">
      <c r="B1" s="42" t="s">
        <v>0</v>
      </c>
      <c r="C1" s="8"/>
      <c r="D1" s="8"/>
      <c r="E1" s="8"/>
      <c r="F1" s="8"/>
      <c r="G1" s="8"/>
    </row>
    <row r="2" spans="1:67" ht="16.5" thickTop="1" thickBot="1" x14ac:dyDescent="0.4">
      <c r="B2" s="19" t="s">
        <v>1</v>
      </c>
      <c r="C2" s="16"/>
      <c r="D2" s="16"/>
      <c r="E2" s="16"/>
      <c r="F2" s="16"/>
      <c r="G2" s="4" t="s">
        <v>2</v>
      </c>
      <c r="H2" s="9">
        <v>1</v>
      </c>
      <c r="J2" s="10"/>
      <c r="K2" s="57" t="s">
        <v>3</v>
      </c>
      <c r="L2" s="57"/>
      <c r="M2" s="57"/>
      <c r="N2" s="57"/>
      <c r="O2" s="57"/>
      <c r="P2" s="36"/>
      <c r="Q2" s="58" t="s">
        <v>4</v>
      </c>
      <c r="R2" s="58"/>
      <c r="S2" s="58"/>
      <c r="T2" s="58"/>
      <c r="U2" s="12"/>
      <c r="V2" s="54" t="s">
        <v>5</v>
      </c>
      <c r="W2" s="54"/>
      <c r="X2" s="54"/>
      <c r="Y2" s="54"/>
      <c r="Z2" s="13"/>
      <c r="AA2" s="54" t="s">
        <v>6</v>
      </c>
      <c r="AB2" s="54"/>
      <c r="AC2" s="54"/>
      <c r="AD2" s="54"/>
      <c r="AE2" s="54"/>
      <c r="AF2" s="54"/>
      <c r="AG2" s="54"/>
      <c r="AH2" s="14"/>
      <c r="AI2" s="54" t="s">
        <v>7</v>
      </c>
      <c r="AJ2" s="54"/>
      <c r="AK2" s="54"/>
      <c r="AL2" s="54"/>
      <c r="AM2" s="54"/>
      <c r="AN2" s="54"/>
      <c r="AO2" s="54"/>
      <c r="AP2" s="54"/>
    </row>
    <row r="3" spans="1:67" s="7" customFormat="1" ht="15" thickTop="1" x14ac:dyDescent="0.35">
      <c r="B3" s="55" t="s">
        <v>8</v>
      </c>
      <c r="C3" s="56" t="s">
        <v>9</v>
      </c>
      <c r="D3" s="56" t="s">
        <v>10</v>
      </c>
      <c r="E3" s="56" t="s">
        <v>11</v>
      </c>
      <c r="F3" s="56" t="s">
        <v>12</v>
      </c>
      <c r="G3" s="59" t="s">
        <v>13</v>
      </c>
      <c r="H3" s="15" t="s">
        <v>14</v>
      </c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67" s="7" customFormat="1" ht="14.5" x14ac:dyDescent="0.35">
      <c r="B4" s="55"/>
      <c r="C4" s="56"/>
      <c r="D4" s="56"/>
      <c r="E4" s="56"/>
      <c r="F4" s="56"/>
      <c r="G4" s="59"/>
      <c r="H4" s="53" t="s">
        <v>15</v>
      </c>
      <c r="I4" s="53"/>
      <c r="J4" s="53"/>
      <c r="K4" s="53"/>
      <c r="L4" s="53" t="s">
        <v>16</v>
      </c>
      <c r="M4" s="53"/>
      <c r="N4" s="53"/>
      <c r="O4" s="53"/>
      <c r="P4" s="53" t="s">
        <v>17</v>
      </c>
      <c r="Q4" s="53"/>
      <c r="R4" s="53"/>
      <c r="S4" s="53"/>
      <c r="T4" s="53"/>
      <c r="U4" s="53" t="s">
        <v>18</v>
      </c>
      <c r="V4" s="53"/>
      <c r="W4" s="53"/>
      <c r="X4" s="53"/>
      <c r="Y4" s="53" t="s">
        <v>19</v>
      </c>
      <c r="Z4" s="53"/>
      <c r="AA4" s="53"/>
      <c r="AB4" s="53"/>
      <c r="AC4" s="53" t="s">
        <v>20</v>
      </c>
      <c r="AD4" s="53"/>
      <c r="AE4" s="53"/>
      <c r="AF4" s="53"/>
      <c r="AG4" s="53"/>
      <c r="AH4" s="53" t="s">
        <v>21</v>
      </c>
      <c r="AI4" s="53"/>
      <c r="AJ4" s="53"/>
      <c r="AK4" s="53"/>
      <c r="AL4" s="53" t="s">
        <v>22</v>
      </c>
      <c r="AM4" s="53"/>
      <c r="AN4" s="53"/>
      <c r="AO4" s="53"/>
      <c r="AP4" s="53" t="s">
        <v>23</v>
      </c>
      <c r="AQ4" s="53"/>
      <c r="AR4" s="53"/>
      <c r="AS4" s="53"/>
      <c r="AT4" s="53"/>
      <c r="AU4" s="53" t="s">
        <v>24</v>
      </c>
      <c r="AV4" s="53"/>
      <c r="AW4" s="53"/>
      <c r="AX4" s="53"/>
      <c r="AY4" s="53" t="s">
        <v>25</v>
      </c>
      <c r="AZ4" s="53"/>
      <c r="BA4" s="53"/>
      <c r="BB4" s="53"/>
      <c r="BC4" s="53" t="s">
        <v>26</v>
      </c>
      <c r="BD4" s="53"/>
      <c r="BE4" s="53"/>
      <c r="BF4" s="53"/>
      <c r="BG4" s="53"/>
      <c r="BH4" s="53" t="s">
        <v>15</v>
      </c>
      <c r="BI4" s="53"/>
      <c r="BJ4" s="53"/>
      <c r="BK4" s="53"/>
      <c r="BL4" s="53" t="s">
        <v>16</v>
      </c>
      <c r="BM4" s="53"/>
      <c r="BN4" s="53"/>
      <c r="BO4" s="53"/>
    </row>
    <row r="5" spans="1:67" s="7" customFormat="1" ht="14.5" x14ac:dyDescent="0.35">
      <c r="B5" s="55"/>
      <c r="C5" s="56"/>
      <c r="D5" s="56"/>
      <c r="E5" s="56"/>
      <c r="F5" s="56"/>
      <c r="G5" s="59"/>
      <c r="H5" s="40">
        <v>46027</v>
      </c>
      <c r="I5" s="41">
        <f t="shared" ref="I5:BG5" si="0">H5+7</f>
        <v>46034</v>
      </c>
      <c r="J5" s="41">
        <f t="shared" si="0"/>
        <v>46041</v>
      </c>
      <c r="K5" s="41">
        <f t="shared" si="0"/>
        <v>46048</v>
      </c>
      <c r="L5" s="40">
        <f t="shared" si="0"/>
        <v>46055</v>
      </c>
      <c r="M5" s="41">
        <f t="shared" si="0"/>
        <v>46062</v>
      </c>
      <c r="N5" s="41">
        <f t="shared" si="0"/>
        <v>46069</v>
      </c>
      <c r="O5" s="41">
        <f t="shared" si="0"/>
        <v>46076</v>
      </c>
      <c r="P5" s="40">
        <f t="shared" si="0"/>
        <v>46083</v>
      </c>
      <c r="Q5" s="41">
        <f t="shared" si="0"/>
        <v>46090</v>
      </c>
      <c r="R5" s="41">
        <f t="shared" si="0"/>
        <v>46097</v>
      </c>
      <c r="S5" s="41">
        <f t="shared" si="0"/>
        <v>46104</v>
      </c>
      <c r="T5" s="41">
        <f t="shared" si="0"/>
        <v>46111</v>
      </c>
      <c r="U5" s="40">
        <f t="shared" si="0"/>
        <v>46118</v>
      </c>
      <c r="V5" s="41">
        <f t="shared" si="0"/>
        <v>46125</v>
      </c>
      <c r="W5" s="41">
        <f t="shared" si="0"/>
        <v>46132</v>
      </c>
      <c r="X5" s="41">
        <f t="shared" si="0"/>
        <v>46139</v>
      </c>
      <c r="Y5" s="40">
        <f t="shared" si="0"/>
        <v>46146</v>
      </c>
      <c r="Z5" s="41">
        <f t="shared" si="0"/>
        <v>46153</v>
      </c>
      <c r="AA5" s="41">
        <f t="shared" si="0"/>
        <v>46160</v>
      </c>
      <c r="AB5" s="41">
        <f t="shared" si="0"/>
        <v>46167</v>
      </c>
      <c r="AC5" s="40">
        <f t="shared" si="0"/>
        <v>46174</v>
      </c>
      <c r="AD5" s="39">
        <f t="shared" si="0"/>
        <v>46181</v>
      </c>
      <c r="AE5" s="39">
        <f t="shared" si="0"/>
        <v>46188</v>
      </c>
      <c r="AF5" s="39">
        <f t="shared" si="0"/>
        <v>46195</v>
      </c>
      <c r="AG5" s="39">
        <f t="shared" si="0"/>
        <v>46202</v>
      </c>
      <c r="AH5" s="40">
        <f t="shared" si="0"/>
        <v>46209</v>
      </c>
      <c r="AI5" s="39">
        <f t="shared" si="0"/>
        <v>46216</v>
      </c>
      <c r="AJ5" s="39">
        <f t="shared" si="0"/>
        <v>46223</v>
      </c>
      <c r="AK5" s="39">
        <f t="shared" si="0"/>
        <v>46230</v>
      </c>
      <c r="AL5" s="40">
        <f t="shared" si="0"/>
        <v>46237</v>
      </c>
      <c r="AM5" s="39">
        <f t="shared" si="0"/>
        <v>46244</v>
      </c>
      <c r="AN5" s="39">
        <f t="shared" si="0"/>
        <v>46251</v>
      </c>
      <c r="AO5" s="39">
        <f t="shared" si="0"/>
        <v>46258</v>
      </c>
      <c r="AP5" s="40">
        <f t="shared" si="0"/>
        <v>46265</v>
      </c>
      <c r="AQ5" s="39">
        <f t="shared" si="0"/>
        <v>46272</v>
      </c>
      <c r="AR5" s="39">
        <f t="shared" si="0"/>
        <v>46279</v>
      </c>
      <c r="AS5" s="39">
        <f t="shared" si="0"/>
        <v>46286</v>
      </c>
      <c r="AT5" s="39">
        <f t="shared" si="0"/>
        <v>46293</v>
      </c>
      <c r="AU5" s="40">
        <f t="shared" si="0"/>
        <v>46300</v>
      </c>
      <c r="AV5" s="39">
        <f t="shared" si="0"/>
        <v>46307</v>
      </c>
      <c r="AW5" s="39">
        <f t="shared" si="0"/>
        <v>46314</v>
      </c>
      <c r="AX5" s="39">
        <f t="shared" si="0"/>
        <v>46321</v>
      </c>
      <c r="AY5" s="40">
        <f t="shared" si="0"/>
        <v>46328</v>
      </c>
      <c r="AZ5" s="39">
        <f t="shared" si="0"/>
        <v>46335</v>
      </c>
      <c r="BA5" s="39">
        <f t="shared" si="0"/>
        <v>46342</v>
      </c>
      <c r="BB5" s="39">
        <f t="shared" si="0"/>
        <v>46349</v>
      </c>
      <c r="BC5" s="40">
        <f t="shared" si="0"/>
        <v>46356</v>
      </c>
      <c r="BD5" s="39">
        <f t="shared" si="0"/>
        <v>46363</v>
      </c>
      <c r="BE5" s="39">
        <f t="shared" si="0"/>
        <v>46370</v>
      </c>
      <c r="BF5" s="39">
        <f t="shared" si="0"/>
        <v>46377</v>
      </c>
      <c r="BG5" s="39">
        <f t="shared" si="0"/>
        <v>46384</v>
      </c>
      <c r="BH5" s="37"/>
      <c r="BI5" s="38"/>
      <c r="BJ5" s="38"/>
      <c r="BK5" s="38"/>
      <c r="BL5" s="37"/>
      <c r="BM5" s="38"/>
      <c r="BN5" s="38"/>
      <c r="BO5" s="38"/>
    </row>
    <row r="6" spans="1:67" ht="15.5" x14ac:dyDescent="0.35">
      <c r="B6" s="55"/>
      <c r="C6" s="56"/>
      <c r="D6" s="56"/>
      <c r="E6" s="56"/>
      <c r="F6" s="56"/>
      <c r="G6" s="59"/>
      <c r="H6" s="24">
        <v>1</v>
      </c>
      <c r="I6" s="25">
        <v>2</v>
      </c>
      <c r="J6" s="25">
        <v>3</v>
      </c>
      <c r="K6" s="26">
        <v>4</v>
      </c>
      <c r="L6" s="24">
        <v>5</v>
      </c>
      <c r="M6" s="25">
        <v>6</v>
      </c>
      <c r="N6" s="25">
        <v>7</v>
      </c>
      <c r="O6" s="26">
        <v>8</v>
      </c>
      <c r="P6" s="24">
        <v>9</v>
      </c>
      <c r="Q6" s="25">
        <v>10</v>
      </c>
      <c r="R6" s="25">
        <v>11</v>
      </c>
      <c r="S6" s="25">
        <v>12</v>
      </c>
      <c r="T6" s="9">
        <v>13</v>
      </c>
      <c r="U6" s="24">
        <v>14</v>
      </c>
      <c r="V6" s="25">
        <v>15</v>
      </c>
      <c r="W6" s="25">
        <v>16</v>
      </c>
      <c r="X6" s="26">
        <v>17</v>
      </c>
      <c r="Y6" s="24">
        <v>18</v>
      </c>
      <c r="Z6" s="25">
        <v>19</v>
      </c>
      <c r="AA6" s="25">
        <v>20</v>
      </c>
      <c r="AB6" s="26">
        <v>21</v>
      </c>
      <c r="AC6" s="24">
        <v>22</v>
      </c>
      <c r="AD6" s="25">
        <v>23</v>
      </c>
      <c r="AE6" s="25">
        <v>24</v>
      </c>
      <c r="AF6" s="25">
        <v>25</v>
      </c>
      <c r="AG6" s="26">
        <v>26</v>
      </c>
      <c r="AH6" s="24">
        <v>27</v>
      </c>
      <c r="AI6" s="25">
        <v>28</v>
      </c>
      <c r="AJ6" s="25">
        <v>29</v>
      </c>
      <c r="AK6" s="26">
        <v>30</v>
      </c>
      <c r="AL6" s="24">
        <v>31</v>
      </c>
      <c r="AM6" s="25">
        <v>32</v>
      </c>
      <c r="AN6" s="25">
        <v>33</v>
      </c>
      <c r="AO6" s="26">
        <v>34</v>
      </c>
      <c r="AP6" s="24">
        <v>35</v>
      </c>
      <c r="AQ6" s="25">
        <v>36</v>
      </c>
      <c r="AR6" s="25">
        <v>37</v>
      </c>
      <c r="AS6" s="25">
        <v>38</v>
      </c>
      <c r="AT6" s="26">
        <v>39</v>
      </c>
      <c r="AU6" s="24">
        <v>40</v>
      </c>
      <c r="AV6" s="25">
        <v>41</v>
      </c>
      <c r="AW6" s="25">
        <v>42</v>
      </c>
      <c r="AX6" s="26">
        <v>43</v>
      </c>
      <c r="AY6" s="24">
        <v>44</v>
      </c>
      <c r="AZ6" s="25">
        <v>45</v>
      </c>
      <c r="BA6" s="25">
        <v>46</v>
      </c>
      <c r="BB6" s="26">
        <v>47</v>
      </c>
      <c r="BC6" s="24">
        <v>48</v>
      </c>
      <c r="BD6" s="25">
        <v>49</v>
      </c>
      <c r="BE6" s="25">
        <v>50</v>
      </c>
      <c r="BF6" s="25">
        <v>51</v>
      </c>
      <c r="BG6" s="26">
        <v>52</v>
      </c>
      <c r="BH6" s="24">
        <v>53</v>
      </c>
      <c r="BI6" s="25">
        <v>54</v>
      </c>
      <c r="BJ6" s="25">
        <v>55</v>
      </c>
      <c r="BK6" s="26">
        <v>56</v>
      </c>
      <c r="BL6" s="24">
        <v>57</v>
      </c>
      <c r="BM6" s="25">
        <v>58</v>
      </c>
      <c r="BN6" s="25">
        <v>59</v>
      </c>
      <c r="BO6" s="26">
        <v>60</v>
      </c>
    </row>
    <row r="7" spans="1:67" ht="28.5" customHeight="1" x14ac:dyDescent="0.35">
      <c r="A7" s="43">
        <v>1</v>
      </c>
      <c r="B7" s="48" t="s">
        <v>27</v>
      </c>
      <c r="C7" s="20">
        <v>10</v>
      </c>
      <c r="D7" s="20">
        <v>3</v>
      </c>
      <c r="E7" s="18"/>
      <c r="F7" s="18"/>
      <c r="G7" s="51">
        <v>0.5</v>
      </c>
      <c r="AB7" s="1"/>
      <c r="AC7" s="1"/>
      <c r="AD7" s="1"/>
      <c r="AE7" s="1"/>
      <c r="AF7" s="1"/>
      <c r="AG7" s="1"/>
      <c r="AH7" s="1"/>
    </row>
    <row r="8" spans="1:67" ht="27.65" customHeight="1" x14ac:dyDescent="0.35">
      <c r="A8" s="43">
        <v>2</v>
      </c>
      <c r="B8" s="48" t="s">
        <v>28</v>
      </c>
      <c r="C8" s="20">
        <v>12</v>
      </c>
      <c r="D8" s="20">
        <v>2</v>
      </c>
      <c r="E8" s="18"/>
      <c r="F8" s="18"/>
      <c r="G8" s="51">
        <v>0.4</v>
      </c>
      <c r="AB8" s="1"/>
      <c r="AC8" s="1"/>
      <c r="AD8" s="1"/>
      <c r="AE8" s="1"/>
      <c r="AF8" s="1"/>
      <c r="AG8" s="1"/>
      <c r="AH8" s="1"/>
    </row>
    <row r="9" spans="1:67" ht="23.5" customHeight="1" x14ac:dyDescent="0.35">
      <c r="A9" s="43">
        <v>3</v>
      </c>
      <c r="B9" s="48" t="s">
        <v>29</v>
      </c>
      <c r="C9" s="20">
        <v>12</v>
      </c>
      <c r="D9" s="20">
        <v>1</v>
      </c>
      <c r="E9" s="18"/>
      <c r="F9" s="18"/>
      <c r="G9" s="51">
        <v>0</v>
      </c>
      <c r="AB9" s="1"/>
      <c r="AC9" s="1"/>
      <c r="AD9" s="1"/>
      <c r="AE9" s="1"/>
      <c r="AF9" s="1"/>
      <c r="AG9" s="1"/>
      <c r="AH9" s="1"/>
    </row>
    <row r="10" spans="1:67" ht="25" customHeight="1" x14ac:dyDescent="0.35">
      <c r="A10" s="43">
        <v>4</v>
      </c>
      <c r="B10" s="46" t="s">
        <v>30</v>
      </c>
      <c r="C10" s="20">
        <v>14</v>
      </c>
      <c r="D10" s="20">
        <v>2</v>
      </c>
      <c r="E10" s="18"/>
      <c r="F10" s="18"/>
      <c r="G10" s="51">
        <v>0</v>
      </c>
      <c r="AB10" s="1"/>
      <c r="AC10" s="1"/>
      <c r="AD10" s="1"/>
      <c r="AE10" s="1"/>
      <c r="AF10" s="1"/>
      <c r="AG10" s="1"/>
      <c r="AH10" s="1"/>
    </row>
    <row r="11" spans="1:67" ht="17.149999999999999" customHeight="1" x14ac:dyDescent="0.35">
      <c r="A11" s="43">
        <v>5</v>
      </c>
      <c r="B11" s="46" t="s">
        <v>31</v>
      </c>
      <c r="C11" s="20">
        <v>14</v>
      </c>
      <c r="D11" s="20">
        <v>2</v>
      </c>
      <c r="E11" s="18"/>
      <c r="F11" s="18"/>
      <c r="G11" s="51">
        <v>0</v>
      </c>
      <c r="AB11" s="1"/>
      <c r="AC11" s="1"/>
      <c r="AD11" s="1"/>
      <c r="AE11" s="1"/>
      <c r="AF11" s="1"/>
      <c r="AG11" s="1"/>
      <c r="AH11" s="1"/>
    </row>
    <row r="12" spans="1:67" s="1" customFormat="1" ht="19" customHeight="1" x14ac:dyDescent="0.35">
      <c r="A12" s="43">
        <v>6</v>
      </c>
      <c r="B12" s="46" t="s">
        <v>32</v>
      </c>
      <c r="C12" s="20">
        <v>14</v>
      </c>
      <c r="D12" s="20">
        <v>1</v>
      </c>
      <c r="E12" s="18"/>
      <c r="F12" s="18"/>
      <c r="G12" s="51">
        <v>0</v>
      </c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</row>
    <row r="13" spans="1:67" ht="17.149999999999999" customHeight="1" x14ac:dyDescent="0.35">
      <c r="A13" s="43">
        <v>7</v>
      </c>
      <c r="B13" s="46" t="s">
        <v>33</v>
      </c>
      <c r="C13" s="20">
        <v>15</v>
      </c>
      <c r="D13" s="20">
        <v>2</v>
      </c>
      <c r="E13" s="18"/>
      <c r="F13" s="18"/>
      <c r="G13" s="51">
        <v>0</v>
      </c>
      <c r="AB13" s="1"/>
      <c r="AC13" s="1"/>
      <c r="AD13" s="1"/>
      <c r="AE13" s="1"/>
      <c r="AF13" s="1"/>
      <c r="AG13" s="1"/>
      <c r="AH13" s="1"/>
    </row>
    <row r="14" spans="1:67" ht="15.5" x14ac:dyDescent="0.35">
      <c r="A14" s="43">
        <v>8</v>
      </c>
      <c r="B14" s="46" t="s">
        <v>34</v>
      </c>
      <c r="C14" s="20">
        <v>15</v>
      </c>
      <c r="D14" s="20">
        <v>2</v>
      </c>
      <c r="E14" s="18"/>
      <c r="F14" s="18"/>
      <c r="G14" s="51">
        <v>0</v>
      </c>
      <c r="AB14" s="1"/>
      <c r="AC14" s="1"/>
      <c r="AD14" s="1"/>
      <c r="AE14" s="1"/>
      <c r="AF14" s="1"/>
      <c r="AG14" s="1"/>
      <c r="AH14" s="1"/>
    </row>
    <row r="15" spans="1:67" ht="15.5" x14ac:dyDescent="0.35">
      <c r="A15" s="43">
        <v>9</v>
      </c>
      <c r="B15" s="46" t="s">
        <v>35</v>
      </c>
      <c r="C15" s="20">
        <v>14</v>
      </c>
      <c r="D15" s="20">
        <v>3</v>
      </c>
      <c r="E15" s="18"/>
      <c r="F15" s="18"/>
      <c r="G15" s="51">
        <v>0</v>
      </c>
      <c r="AB15" s="1"/>
      <c r="AC15" s="1"/>
      <c r="AD15" s="1"/>
      <c r="AE15" s="1"/>
      <c r="AF15" s="1"/>
      <c r="AG15" s="1"/>
      <c r="AH15" s="1"/>
    </row>
    <row r="16" spans="1:67" s="1" customFormat="1" ht="15.5" x14ac:dyDescent="0.35">
      <c r="A16" s="43">
        <v>10</v>
      </c>
      <c r="B16" s="46" t="s">
        <v>36</v>
      </c>
      <c r="C16" s="20">
        <v>16</v>
      </c>
      <c r="D16" s="20">
        <v>3</v>
      </c>
      <c r="E16" s="18"/>
      <c r="F16" s="18"/>
      <c r="G16" s="51">
        <v>0</v>
      </c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</row>
    <row r="17" spans="1:67" s="1" customFormat="1" ht="15.5" x14ac:dyDescent="0.35">
      <c r="A17" s="43">
        <v>11</v>
      </c>
      <c r="B17" s="46" t="s">
        <v>37</v>
      </c>
      <c r="C17" s="20">
        <v>14</v>
      </c>
      <c r="D17" s="20">
        <v>4</v>
      </c>
      <c r="E17" s="18"/>
      <c r="F17" s="18"/>
      <c r="G17" s="51">
        <v>0</v>
      </c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</row>
    <row r="18" spans="1:67" s="1" customFormat="1" ht="15.5" x14ac:dyDescent="0.35">
      <c r="A18" s="43">
        <v>12</v>
      </c>
      <c r="B18" s="46" t="s">
        <v>38</v>
      </c>
      <c r="C18" s="20">
        <v>17</v>
      </c>
      <c r="D18" s="20">
        <v>3</v>
      </c>
      <c r="E18" s="18"/>
      <c r="F18" s="18"/>
      <c r="G18" s="51">
        <v>0</v>
      </c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</row>
    <row r="19" spans="1:67" s="1" customFormat="1" ht="15.5" x14ac:dyDescent="0.35">
      <c r="A19" s="43">
        <v>13</v>
      </c>
      <c r="B19" s="47" t="s">
        <v>39</v>
      </c>
      <c r="C19" s="20">
        <v>14</v>
      </c>
      <c r="D19" s="20">
        <v>3</v>
      </c>
      <c r="E19" s="18"/>
      <c r="F19" s="18"/>
      <c r="G19" s="51">
        <v>0</v>
      </c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</row>
    <row r="20" spans="1:67" s="1" customFormat="1" ht="15.5" x14ac:dyDescent="0.35">
      <c r="A20" s="43">
        <v>14</v>
      </c>
      <c r="B20" s="47" t="s">
        <v>40</v>
      </c>
      <c r="C20" s="20">
        <v>17</v>
      </c>
      <c r="D20" s="20">
        <v>3</v>
      </c>
      <c r="E20" s="18"/>
      <c r="F20" s="18"/>
      <c r="G20" s="51">
        <v>0</v>
      </c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</row>
    <row r="21" spans="1:67" s="1" customFormat="1" ht="15.5" x14ac:dyDescent="0.35">
      <c r="A21" s="43">
        <v>15</v>
      </c>
      <c r="B21" s="44" t="s">
        <v>41</v>
      </c>
      <c r="C21" s="20">
        <v>20</v>
      </c>
      <c r="D21" s="20">
        <v>2</v>
      </c>
      <c r="E21" s="18"/>
      <c r="F21" s="18"/>
      <c r="G21" s="51">
        <v>0</v>
      </c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</row>
    <row r="22" spans="1:67" s="1" customFormat="1" ht="15.5" x14ac:dyDescent="0.35">
      <c r="A22" s="43">
        <v>16</v>
      </c>
      <c r="B22" s="49" t="s">
        <v>42</v>
      </c>
      <c r="C22" s="20">
        <v>20</v>
      </c>
      <c r="D22" s="20">
        <v>3</v>
      </c>
      <c r="E22" s="18"/>
      <c r="F22" s="18"/>
      <c r="G22" s="51">
        <v>0</v>
      </c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</row>
    <row r="23" spans="1:67" s="1" customFormat="1" ht="15.5" x14ac:dyDescent="0.35">
      <c r="A23" s="43">
        <v>17</v>
      </c>
      <c r="B23" s="49" t="s">
        <v>43</v>
      </c>
      <c r="C23" s="20">
        <v>20</v>
      </c>
      <c r="D23" s="20">
        <v>3</v>
      </c>
      <c r="E23" s="18"/>
      <c r="F23" s="18"/>
      <c r="G23" s="51">
        <v>0</v>
      </c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</row>
    <row r="24" spans="1:67" s="1" customFormat="1" ht="15.5" x14ac:dyDescent="0.35">
      <c r="A24" s="43">
        <v>18</v>
      </c>
      <c r="B24" s="49" t="s">
        <v>44</v>
      </c>
      <c r="C24" s="20">
        <v>20</v>
      </c>
      <c r="D24" s="20">
        <v>3</v>
      </c>
      <c r="E24" s="18"/>
      <c r="F24" s="18"/>
      <c r="G24" s="51">
        <v>0</v>
      </c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</row>
    <row r="25" spans="1:67" s="1" customFormat="1" ht="15.5" x14ac:dyDescent="0.35">
      <c r="A25" s="43">
        <v>19</v>
      </c>
      <c r="B25" s="50" t="s">
        <v>45</v>
      </c>
      <c r="C25" s="20">
        <v>22</v>
      </c>
      <c r="D25" s="20">
        <v>3</v>
      </c>
      <c r="E25" s="18"/>
      <c r="F25" s="18"/>
      <c r="G25" s="51">
        <v>0</v>
      </c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</row>
    <row r="26" spans="1:67" ht="14.5" x14ac:dyDescent="0.35">
      <c r="A26" s="43">
        <v>20</v>
      </c>
      <c r="B26" s="45" t="s">
        <v>46</v>
      </c>
      <c r="C26" s="1">
        <v>28</v>
      </c>
      <c r="D26" s="1">
        <v>1</v>
      </c>
      <c r="G26" s="52">
        <v>0</v>
      </c>
    </row>
    <row r="27" spans="1:67" ht="14.5" x14ac:dyDescent="0.35">
      <c r="A27" s="43">
        <v>21</v>
      </c>
      <c r="B27" s="45" t="s">
        <v>47</v>
      </c>
      <c r="C27" s="1">
        <v>28</v>
      </c>
      <c r="D27" s="1">
        <v>4</v>
      </c>
      <c r="G27" s="51">
        <v>0</v>
      </c>
    </row>
  </sheetData>
  <mergeCells count="25">
    <mergeCell ref="AI2:AP2"/>
    <mergeCell ref="B3:B6"/>
    <mergeCell ref="C3:C6"/>
    <mergeCell ref="D3:D6"/>
    <mergeCell ref="E3:E6"/>
    <mergeCell ref="F3:F6"/>
    <mergeCell ref="Y4:AB4"/>
    <mergeCell ref="K2:O2"/>
    <mergeCell ref="Q2:T2"/>
    <mergeCell ref="V2:Y2"/>
    <mergeCell ref="AA2:AG2"/>
    <mergeCell ref="G3:G6"/>
    <mergeCell ref="H4:K4"/>
    <mergeCell ref="L4:O4"/>
    <mergeCell ref="P4:T4"/>
    <mergeCell ref="U4:X4"/>
    <mergeCell ref="BC4:BG4"/>
    <mergeCell ref="BH4:BK4"/>
    <mergeCell ref="BL4:BO4"/>
    <mergeCell ref="AC4:AG4"/>
    <mergeCell ref="AH4:AK4"/>
    <mergeCell ref="AL4:AO4"/>
    <mergeCell ref="AP4:AT4"/>
    <mergeCell ref="AU4:AX4"/>
    <mergeCell ref="AY4:BB4"/>
  </mergeCells>
  <conditionalFormatting sqref="C26:F26">
    <cfRule type="expression" dxfId="45" priority="26">
      <formula>TRUE</formula>
    </cfRule>
  </conditionalFormatting>
  <conditionalFormatting sqref="H6:S6 U6:BO6">
    <cfRule type="expression" dxfId="44" priority="32">
      <formula>H$6=period_selected</formula>
    </cfRule>
  </conditionalFormatting>
  <conditionalFormatting sqref="H7:BO27">
    <cfRule type="expression" dxfId="43" priority="9">
      <formula>PercentComplete</formula>
    </cfRule>
    <cfRule type="expression" dxfId="42" priority="10">
      <formula>PercentCompleteBeyond</formula>
    </cfRule>
    <cfRule type="expression" dxfId="41" priority="11">
      <formula>Actual</formula>
    </cfRule>
    <cfRule type="expression" dxfId="40" priority="12">
      <formula>ActualBeyond</formula>
    </cfRule>
    <cfRule type="expression" dxfId="39" priority="13">
      <formula>Plan</formula>
    </cfRule>
    <cfRule type="expression" dxfId="38" priority="14">
      <formula>H$6=period_selected</formula>
    </cfRule>
    <cfRule type="expression" dxfId="37" priority="15">
      <formula>MOD(COLUMN(),2)</formula>
    </cfRule>
    <cfRule type="expression" dxfId="36" priority="16">
      <formula>MOD(COLUMN(),2)=0</formula>
    </cfRule>
  </conditionalFormatting>
  <dataValidations disablePrompts="1"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83C6F8AF-9570-4168-B297-D06AD3BB2341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D64B2D7E-D8CF-4F74-B611-41E97584B647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D29E57EB-E7E5-4D7E-8F30-D41D509382D8}"/>
    <dataValidation allowBlank="1" showInputMessage="1" showErrorMessage="1" prompt="This legend cell indicates actual duration" sqref="P2" xr:uid="{B71FC169-E7FB-4800-B319-94011E321F33}"/>
    <dataValidation allowBlank="1" showInputMessage="1" showErrorMessage="1" prompt="This legend cell indicates the percentage of project completed" sqref="U2" xr:uid="{0F084478-FBFE-4BC6-A3E6-132B27345F29}"/>
    <dataValidation allowBlank="1" showInputMessage="1" showErrorMessage="1" prompt="This legend cell indicates actual duration beyond plan" sqref="Z2" xr:uid="{B7DE504A-EC3E-4E50-8357-99096D62ECCA}"/>
    <dataValidation allowBlank="1" showInputMessage="1" showErrorMessage="1" prompt="This legend cell indicates the percentage of project completed beyond plan" sqref="AH2" xr:uid="{C47C3BE4-9353-4CFA-86DE-DEE417D16E1A}"/>
    <dataValidation allowBlank="1" showInputMessage="1" showErrorMessage="1" prompt="Periods are charted from 1 to 60 starting from cell H4 to cell BO4 " sqref="H3:H4" xr:uid="{5D0DE086-5E7D-40F0-BC53-47D30BFDE0B2}"/>
    <dataValidation allowBlank="1" showInputMessage="1" showErrorMessage="1" prompt="Enter activity in column B, starting with cell B5_x000a_" sqref="B3:B7" xr:uid="{B4398A7B-AFCA-4236-8BCF-5F348B38923F}"/>
    <dataValidation allowBlank="1" showInputMessage="1" showErrorMessage="1" prompt="Enter plan start period in column C, starting with cell C5" sqref="C3:C6" xr:uid="{D7179D23-4A63-4489-AE33-339914D1BB8F}"/>
    <dataValidation allowBlank="1" showInputMessage="1" showErrorMessage="1" prompt="Enter plan duration period in column D, starting with cell D5" sqref="D3:D6" xr:uid="{D9782F85-3526-41C0-B47E-C2022801D6EC}"/>
    <dataValidation allowBlank="1" showInputMessage="1" showErrorMessage="1" prompt="Enter actual start period in column E, starting with cell E5" sqref="E3:E6" xr:uid="{3DF42F7B-7E9C-4361-868D-C16404097A0C}"/>
    <dataValidation allowBlank="1" showInputMessage="1" showErrorMessage="1" prompt="Enter actual duration period in column F, starting with cell F5" sqref="F3:F6" xr:uid="{89C74DEF-54AD-4782-AB84-34C5F22CC0AA}"/>
    <dataValidation allowBlank="1" showInputMessage="1" showErrorMessage="1" prompt="Enter the percentage of project completed in column G, starting with cell G5" sqref="G3:G6" xr:uid="{926B2C5B-E483-478B-9AF9-B39B9A771EE4}"/>
    <dataValidation allowBlank="1" showInputMessage="1" showErrorMessage="1" prompt="Title of the project. Enter a new title in this cell. Highlight a period in H2. Chart legend is in J2 to AI2" sqref="B1" xr:uid="{C4581DBA-C0BA-44F7-8206-5681E909BD8A}"/>
    <dataValidation allowBlank="1" showInputMessage="1" showErrorMessage="1" prompt="Select a period to highlight in H2. A Chart legend is in J2 to AI2" sqref="B2:F2" xr:uid="{AA7E59A7-29D8-4B26-95D6-2FE168115F0F}"/>
  </dataValidations>
  <printOptions horizontalCentered="1"/>
  <pageMargins left="0.45" right="0.45" top="0.5" bottom="0.5" header="0.3" footer="0.3"/>
  <pageSetup scale="41" fitToHeight="0" orientation="landscape" r:id="rId1"/>
  <headerFooter differentFirst="1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2CDCB-038A-4DB5-A288-33BA638FF3EA}">
  <sheetPr>
    <tabColor theme="7"/>
    <pageSetUpPr fitToPage="1"/>
  </sheetPr>
  <dimension ref="A1:BO33"/>
  <sheetViews>
    <sheetView showGridLines="0" zoomScale="80" zoomScaleNormal="80" zoomScaleSheetLayoutView="80" workbookViewId="0">
      <pane xSplit="7" ySplit="5" topLeftCell="H6" activePane="bottomRight" state="frozen"/>
      <selection pane="topRight" activeCell="H1" sqref="H1"/>
      <selection pane="bottomLeft" activeCell="A5" sqref="A5"/>
      <selection pane="bottomRight"/>
    </sheetView>
  </sheetViews>
  <sheetFormatPr defaultColWidth="2.75" defaultRowHeight="17" x14ac:dyDescent="0.4"/>
  <cols>
    <col min="1" max="1" width="3.75" customWidth="1"/>
    <col min="2" max="2" width="69" style="2" customWidth="1"/>
    <col min="3" max="3" width="7.25" style="1" customWidth="1"/>
    <col min="4" max="4" width="10.08203125" style="1" customWidth="1"/>
    <col min="5" max="5" width="9" style="1" hidden="1" customWidth="1"/>
    <col min="6" max="6" width="10.08203125" style="1" hidden="1" customWidth="1"/>
    <col min="7" max="7" width="11.08203125" style="3" customWidth="1"/>
    <col min="8" max="8" width="2.33203125" style="1" customWidth="1"/>
    <col min="9" max="16" width="2.75" style="1"/>
    <col min="17" max="27" width="3.33203125" style="1" bestFit="1" customWidth="1"/>
    <col min="28" max="67" width="3.33203125" bestFit="1" customWidth="1"/>
  </cols>
  <sheetData>
    <row r="1" spans="1:67" ht="16.399999999999999" customHeight="1" thickBot="1" x14ac:dyDescent="1.25">
      <c r="B1" s="28" t="s">
        <v>48</v>
      </c>
      <c r="C1" s="8"/>
      <c r="D1" s="8"/>
      <c r="E1" s="8"/>
      <c r="F1" s="8"/>
      <c r="G1" s="8"/>
    </row>
    <row r="2" spans="1:67" ht="16.5" thickTop="1" thickBot="1" x14ac:dyDescent="0.4">
      <c r="B2" s="19" t="s">
        <v>1</v>
      </c>
      <c r="C2" s="16"/>
      <c r="D2" s="16"/>
      <c r="E2" s="16"/>
      <c r="F2" s="16"/>
      <c r="G2" s="4" t="s">
        <v>2</v>
      </c>
      <c r="H2" s="9">
        <v>1</v>
      </c>
      <c r="J2" s="10"/>
      <c r="K2" s="57" t="s">
        <v>3</v>
      </c>
      <c r="L2" s="57"/>
      <c r="M2" s="57"/>
      <c r="N2" s="57"/>
      <c r="O2" s="57"/>
      <c r="P2" s="36"/>
      <c r="Q2" s="58" t="s">
        <v>4</v>
      </c>
      <c r="R2" s="58"/>
      <c r="S2" s="58"/>
      <c r="T2" s="58"/>
      <c r="U2" s="12"/>
      <c r="V2" s="54" t="s">
        <v>5</v>
      </c>
      <c r="W2" s="54"/>
      <c r="X2" s="54"/>
      <c r="Y2" s="54"/>
      <c r="Z2" s="13"/>
      <c r="AA2" s="54" t="s">
        <v>6</v>
      </c>
      <c r="AB2" s="54"/>
      <c r="AC2" s="54"/>
      <c r="AD2" s="54"/>
      <c r="AE2" s="54"/>
      <c r="AF2" s="54"/>
      <c r="AG2" s="54"/>
      <c r="AH2" s="14"/>
      <c r="AI2" s="54" t="s">
        <v>7</v>
      </c>
      <c r="AJ2" s="54"/>
      <c r="AK2" s="54"/>
      <c r="AL2" s="54"/>
      <c r="AM2" s="54"/>
      <c r="AN2" s="54"/>
      <c r="AO2" s="54"/>
      <c r="AP2" s="54"/>
    </row>
    <row r="3" spans="1:67" s="7" customFormat="1" ht="15" thickTop="1" x14ac:dyDescent="0.35">
      <c r="B3" s="55" t="s">
        <v>8</v>
      </c>
      <c r="C3" s="56" t="s">
        <v>9</v>
      </c>
      <c r="D3" s="56" t="s">
        <v>10</v>
      </c>
      <c r="E3" s="56" t="s">
        <v>11</v>
      </c>
      <c r="F3" s="56" t="s">
        <v>12</v>
      </c>
      <c r="G3" s="59" t="s">
        <v>13</v>
      </c>
      <c r="H3" s="15" t="s">
        <v>14</v>
      </c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67" s="7" customFormat="1" ht="14.5" x14ac:dyDescent="0.35">
      <c r="B4" s="55"/>
      <c r="C4" s="56"/>
      <c r="D4" s="56"/>
      <c r="E4" s="56"/>
      <c r="F4" s="56"/>
      <c r="G4" s="59"/>
      <c r="H4" s="53" t="s">
        <v>15</v>
      </c>
      <c r="I4" s="53"/>
      <c r="J4" s="53"/>
      <c r="K4" s="53"/>
      <c r="L4" s="53" t="s">
        <v>16</v>
      </c>
      <c r="M4" s="53"/>
      <c r="N4" s="53"/>
      <c r="O4" s="53"/>
      <c r="P4" s="53" t="s">
        <v>17</v>
      </c>
      <c r="Q4" s="53"/>
      <c r="R4" s="53"/>
      <c r="S4" s="53"/>
      <c r="T4" s="53"/>
      <c r="U4" s="53" t="s">
        <v>18</v>
      </c>
      <c r="V4" s="53"/>
      <c r="W4" s="53"/>
      <c r="X4" s="53"/>
      <c r="Y4" s="53" t="s">
        <v>19</v>
      </c>
      <c r="Z4" s="53"/>
      <c r="AA4" s="53"/>
      <c r="AB4" s="53"/>
      <c r="AC4" s="53" t="s">
        <v>20</v>
      </c>
      <c r="AD4" s="53"/>
      <c r="AE4" s="53"/>
      <c r="AF4" s="53"/>
      <c r="AG4" s="53"/>
      <c r="AH4" s="53" t="s">
        <v>21</v>
      </c>
      <c r="AI4" s="53"/>
      <c r="AJ4" s="53"/>
      <c r="AK4" s="53"/>
      <c r="AL4" s="53" t="s">
        <v>22</v>
      </c>
      <c r="AM4" s="53"/>
      <c r="AN4" s="53"/>
      <c r="AO4" s="53"/>
      <c r="AP4" s="53" t="s">
        <v>23</v>
      </c>
      <c r="AQ4" s="53"/>
      <c r="AR4" s="53"/>
      <c r="AS4" s="53"/>
      <c r="AT4" s="53"/>
      <c r="AU4" s="53" t="s">
        <v>24</v>
      </c>
      <c r="AV4" s="53"/>
      <c r="AW4" s="53"/>
      <c r="AX4" s="53"/>
      <c r="AY4" s="53" t="s">
        <v>25</v>
      </c>
      <c r="AZ4" s="53"/>
      <c r="BA4" s="53"/>
      <c r="BB4" s="53"/>
      <c r="BC4" s="53" t="s">
        <v>26</v>
      </c>
      <c r="BD4" s="53"/>
      <c r="BE4" s="53"/>
      <c r="BF4" s="53"/>
      <c r="BG4" s="53"/>
      <c r="BH4" s="53" t="s">
        <v>15</v>
      </c>
      <c r="BI4" s="53"/>
      <c r="BJ4" s="53"/>
      <c r="BK4" s="53"/>
      <c r="BL4" s="53" t="s">
        <v>16</v>
      </c>
      <c r="BM4" s="53"/>
      <c r="BN4" s="53"/>
      <c r="BO4" s="53"/>
    </row>
    <row r="5" spans="1:67" ht="15" thickBot="1" x14ac:dyDescent="0.4">
      <c r="B5" s="55"/>
      <c r="C5" s="56"/>
      <c r="D5" s="56"/>
      <c r="E5" s="56"/>
      <c r="F5" s="56"/>
      <c r="G5" s="59"/>
      <c r="H5" s="24">
        <v>1</v>
      </c>
      <c r="I5" s="25">
        <v>2</v>
      </c>
      <c r="J5" s="25">
        <v>3</v>
      </c>
      <c r="K5" s="26">
        <v>4</v>
      </c>
      <c r="L5" s="24">
        <v>5</v>
      </c>
      <c r="M5" s="25">
        <v>6</v>
      </c>
      <c r="N5" s="25">
        <v>7</v>
      </c>
      <c r="O5" s="26">
        <v>8</v>
      </c>
      <c r="P5" s="24">
        <v>9</v>
      </c>
      <c r="Q5" s="25">
        <v>10</v>
      </c>
      <c r="R5" s="25">
        <v>11</v>
      </c>
      <c r="S5" s="25">
        <v>12</v>
      </c>
      <c r="T5" s="26">
        <v>13</v>
      </c>
      <c r="U5" s="24">
        <v>14</v>
      </c>
      <c r="V5" s="25">
        <v>15</v>
      </c>
      <c r="W5" s="25">
        <v>16</v>
      </c>
      <c r="X5" s="26">
        <v>17</v>
      </c>
      <c r="Y5" s="24">
        <v>18</v>
      </c>
      <c r="Z5" s="25">
        <v>19</v>
      </c>
      <c r="AA5" s="25">
        <v>20</v>
      </c>
      <c r="AB5" s="26">
        <v>21</v>
      </c>
      <c r="AC5" s="24">
        <v>22</v>
      </c>
      <c r="AD5" s="25">
        <v>23</v>
      </c>
      <c r="AE5" s="25">
        <v>24</v>
      </c>
      <c r="AF5" s="25">
        <v>25</v>
      </c>
      <c r="AG5" s="26">
        <v>26</v>
      </c>
      <c r="AH5" s="24">
        <v>27</v>
      </c>
      <c r="AI5" s="25">
        <v>28</v>
      </c>
      <c r="AJ5" s="25">
        <v>29</v>
      </c>
      <c r="AK5" s="26">
        <v>30</v>
      </c>
      <c r="AL5" s="24">
        <v>31</v>
      </c>
      <c r="AM5" s="25">
        <v>32</v>
      </c>
      <c r="AN5" s="25">
        <v>33</v>
      </c>
      <c r="AO5" s="26">
        <v>34</v>
      </c>
      <c r="AP5" s="24">
        <v>35</v>
      </c>
      <c r="AQ5" s="25">
        <v>36</v>
      </c>
      <c r="AR5" s="25">
        <v>37</v>
      </c>
      <c r="AS5" s="25">
        <v>38</v>
      </c>
      <c r="AT5" s="26">
        <v>39</v>
      </c>
      <c r="AU5" s="24">
        <v>40</v>
      </c>
      <c r="AV5" s="25">
        <v>41</v>
      </c>
      <c r="AW5" s="25">
        <v>42</v>
      </c>
      <c r="AX5" s="26">
        <v>43</v>
      </c>
      <c r="AY5" s="24">
        <v>44</v>
      </c>
      <c r="AZ5" s="25">
        <v>45</v>
      </c>
      <c r="BA5" s="25">
        <v>46</v>
      </c>
      <c r="BB5" s="26">
        <v>47</v>
      </c>
      <c r="BC5" s="24">
        <v>48</v>
      </c>
      <c r="BD5" s="25">
        <v>49</v>
      </c>
      <c r="BE5" s="25">
        <v>50</v>
      </c>
      <c r="BF5" s="25">
        <v>51</v>
      </c>
      <c r="BG5" s="26">
        <v>52</v>
      </c>
      <c r="BH5" s="24">
        <v>53</v>
      </c>
      <c r="BI5" s="25">
        <v>54</v>
      </c>
      <c r="BJ5" s="25">
        <v>55</v>
      </c>
      <c r="BK5" s="26">
        <v>56</v>
      </c>
      <c r="BL5" s="24">
        <v>57</v>
      </c>
      <c r="BM5" s="25">
        <v>58</v>
      </c>
      <c r="BN5" s="25">
        <v>59</v>
      </c>
      <c r="BO5" s="26">
        <v>60</v>
      </c>
    </row>
    <row r="6" spans="1:67" ht="16.5" thickTop="1" thickBot="1" x14ac:dyDescent="0.4">
      <c r="A6">
        <v>1</v>
      </c>
      <c r="B6" s="17" t="s">
        <v>49</v>
      </c>
      <c r="C6" s="20">
        <v>9</v>
      </c>
      <c r="D6" s="20">
        <v>1</v>
      </c>
      <c r="E6" s="18"/>
      <c r="F6" s="18"/>
      <c r="G6" s="22">
        <v>1</v>
      </c>
      <c r="H6" s="35"/>
      <c r="P6" s="12"/>
    </row>
    <row r="7" spans="1:67" ht="16" thickTop="1" x14ac:dyDescent="0.35">
      <c r="A7">
        <v>2</v>
      </c>
      <c r="B7" s="17" t="s">
        <v>50</v>
      </c>
      <c r="C7" s="20">
        <v>10</v>
      </c>
      <c r="D7" s="20">
        <v>2</v>
      </c>
      <c r="E7" s="18"/>
      <c r="F7" s="18"/>
      <c r="G7" s="22">
        <v>0.8</v>
      </c>
      <c r="Q7" s="36"/>
    </row>
    <row r="8" spans="1:67" ht="15.5" x14ac:dyDescent="0.35">
      <c r="A8">
        <v>3</v>
      </c>
      <c r="B8" s="17" t="s">
        <v>51</v>
      </c>
      <c r="C8" s="20">
        <v>10</v>
      </c>
      <c r="D8" s="20">
        <v>2</v>
      </c>
      <c r="E8" s="18"/>
      <c r="F8" s="18"/>
      <c r="G8" s="22">
        <v>0.8</v>
      </c>
      <c r="Q8" s="36"/>
    </row>
    <row r="9" spans="1:67" ht="26" x14ac:dyDescent="0.35">
      <c r="A9">
        <v>4</v>
      </c>
      <c r="B9" s="17" t="s">
        <v>52</v>
      </c>
      <c r="C9" s="20">
        <v>10</v>
      </c>
      <c r="D9" s="20">
        <v>2</v>
      </c>
      <c r="E9" s="18"/>
      <c r="F9" s="18"/>
      <c r="G9" s="22">
        <v>0.4</v>
      </c>
      <c r="Q9" s="36"/>
    </row>
    <row r="10" spans="1:67" ht="15.5" x14ac:dyDescent="0.35">
      <c r="A10">
        <v>5</v>
      </c>
      <c r="B10" s="17" t="s">
        <v>53</v>
      </c>
      <c r="C10" s="20">
        <v>10</v>
      </c>
      <c r="D10" s="20">
        <v>2</v>
      </c>
      <c r="E10" s="18"/>
      <c r="F10" s="18"/>
      <c r="G10" s="22">
        <v>0.4</v>
      </c>
      <c r="Q10" s="36"/>
    </row>
    <row r="11" spans="1:67" ht="15.5" x14ac:dyDescent="0.35">
      <c r="A11">
        <v>6</v>
      </c>
      <c r="B11" s="17" t="s">
        <v>54</v>
      </c>
      <c r="C11" s="20">
        <v>10</v>
      </c>
      <c r="D11" s="20">
        <v>2</v>
      </c>
      <c r="E11" s="18"/>
      <c r="F11" s="18"/>
      <c r="G11" s="22">
        <v>0.2</v>
      </c>
      <c r="Q11" s="36"/>
    </row>
    <row r="12" spans="1:67" ht="15.5" x14ac:dyDescent="0.35">
      <c r="A12">
        <v>7</v>
      </c>
      <c r="B12" s="17" t="s">
        <v>55</v>
      </c>
      <c r="C12" s="20">
        <v>11</v>
      </c>
      <c r="D12" s="20">
        <v>4</v>
      </c>
      <c r="E12" s="18"/>
      <c r="F12" s="18"/>
      <c r="G12" s="22">
        <v>0</v>
      </c>
    </row>
    <row r="13" spans="1:67" ht="15.5" x14ac:dyDescent="0.35">
      <c r="A13">
        <v>8</v>
      </c>
      <c r="B13" s="17" t="s">
        <v>56</v>
      </c>
      <c r="C13" s="33">
        <v>13</v>
      </c>
      <c r="D13" s="33">
        <v>4</v>
      </c>
      <c r="E13" s="18"/>
      <c r="F13" s="18"/>
      <c r="G13" s="22">
        <v>0</v>
      </c>
    </row>
    <row r="14" spans="1:67" ht="15.5" x14ac:dyDescent="0.35">
      <c r="A14">
        <v>9</v>
      </c>
      <c r="B14" s="17" t="s">
        <v>57</v>
      </c>
      <c r="C14" s="20">
        <v>11</v>
      </c>
      <c r="D14" s="20">
        <v>4</v>
      </c>
      <c r="E14" s="18"/>
      <c r="F14" s="18"/>
      <c r="G14" s="22">
        <v>0</v>
      </c>
    </row>
    <row r="15" spans="1:67" ht="15.5" x14ac:dyDescent="0.35">
      <c r="A15">
        <v>10</v>
      </c>
      <c r="B15" s="17" t="s">
        <v>58</v>
      </c>
      <c r="C15" s="33">
        <v>13</v>
      </c>
      <c r="D15" s="33">
        <v>4</v>
      </c>
      <c r="E15" s="18"/>
      <c r="F15" s="18"/>
      <c r="G15" s="22">
        <v>0</v>
      </c>
    </row>
    <row r="16" spans="1:67" ht="15.5" x14ac:dyDescent="0.35">
      <c r="A16">
        <v>11</v>
      </c>
      <c r="B16" s="17" t="s">
        <v>59</v>
      </c>
      <c r="C16" s="20">
        <v>14</v>
      </c>
      <c r="D16" s="20">
        <v>1</v>
      </c>
      <c r="E16" s="18"/>
      <c r="F16" s="18"/>
      <c r="G16" s="22">
        <v>0</v>
      </c>
    </row>
    <row r="17" spans="1:67" ht="15.5" x14ac:dyDescent="0.35">
      <c r="A17">
        <v>12</v>
      </c>
      <c r="B17" s="17" t="s">
        <v>60</v>
      </c>
      <c r="C17" s="20">
        <v>13</v>
      </c>
      <c r="D17" s="20">
        <v>3</v>
      </c>
      <c r="E17" s="18"/>
      <c r="F17" s="18"/>
      <c r="G17" s="22">
        <v>0</v>
      </c>
    </row>
    <row r="18" spans="1:67" ht="15.5" x14ac:dyDescent="0.35">
      <c r="A18">
        <v>13</v>
      </c>
      <c r="B18" s="17" t="s">
        <v>61</v>
      </c>
      <c r="C18" s="33">
        <v>15</v>
      </c>
      <c r="D18" s="33">
        <v>2</v>
      </c>
      <c r="E18" s="18"/>
      <c r="F18" s="18"/>
      <c r="G18" s="22">
        <v>0</v>
      </c>
    </row>
    <row r="19" spans="1:67" ht="15.5" x14ac:dyDescent="0.35">
      <c r="A19">
        <v>14</v>
      </c>
      <c r="B19" s="17" t="s">
        <v>62</v>
      </c>
      <c r="C19" s="20">
        <v>12</v>
      </c>
      <c r="D19" s="20">
        <v>3</v>
      </c>
      <c r="E19" s="18"/>
      <c r="F19" s="18"/>
      <c r="G19" s="22">
        <v>0</v>
      </c>
    </row>
    <row r="20" spans="1:67" ht="17.149999999999999" customHeight="1" x14ac:dyDescent="0.35">
      <c r="A20">
        <v>15</v>
      </c>
      <c r="B20" s="17" t="s">
        <v>63</v>
      </c>
      <c r="C20" s="33">
        <v>15</v>
      </c>
      <c r="D20" s="33">
        <v>2</v>
      </c>
      <c r="E20" s="18"/>
      <c r="F20" s="18"/>
      <c r="G20" s="22">
        <v>0</v>
      </c>
    </row>
    <row r="21" spans="1:67" ht="15.5" x14ac:dyDescent="0.35">
      <c r="A21">
        <v>16</v>
      </c>
      <c r="B21" s="17" t="s">
        <v>64</v>
      </c>
      <c r="C21" s="20">
        <v>12</v>
      </c>
      <c r="D21" s="32">
        <v>3</v>
      </c>
      <c r="E21" s="18"/>
      <c r="F21" s="18"/>
      <c r="G21" s="22">
        <v>0</v>
      </c>
    </row>
    <row r="22" spans="1:67" ht="15.5" x14ac:dyDescent="0.35">
      <c r="A22">
        <v>17</v>
      </c>
      <c r="B22" s="17" t="s">
        <v>65</v>
      </c>
      <c r="C22" s="33">
        <v>15</v>
      </c>
      <c r="D22" s="33">
        <v>2</v>
      </c>
      <c r="E22" s="18"/>
      <c r="F22" s="18"/>
      <c r="G22" s="22">
        <v>0</v>
      </c>
    </row>
    <row r="23" spans="1:67" s="1" customFormat="1" ht="15.5" x14ac:dyDescent="0.35">
      <c r="A23">
        <v>18</v>
      </c>
      <c r="B23" s="17" t="s">
        <v>66</v>
      </c>
      <c r="C23" s="20">
        <v>17</v>
      </c>
      <c r="D23" s="20">
        <v>3</v>
      </c>
      <c r="E23" s="18"/>
      <c r="F23" s="18"/>
      <c r="G23" s="22">
        <v>0</v>
      </c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</row>
    <row r="24" spans="1:67" s="1" customFormat="1" ht="15.5" x14ac:dyDescent="0.35">
      <c r="A24">
        <v>19</v>
      </c>
      <c r="B24" s="17" t="s">
        <v>67</v>
      </c>
      <c r="C24" s="20">
        <v>19</v>
      </c>
      <c r="D24" s="20">
        <v>2</v>
      </c>
      <c r="E24" s="18"/>
      <c r="F24" s="18"/>
      <c r="G24" s="22">
        <v>0</v>
      </c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</row>
    <row r="25" spans="1:67" s="1" customFormat="1" ht="15.5" x14ac:dyDescent="0.35">
      <c r="A25">
        <v>20</v>
      </c>
      <c r="B25" s="34" t="s">
        <v>68</v>
      </c>
      <c r="C25" s="20">
        <v>20</v>
      </c>
      <c r="D25" s="20">
        <v>1</v>
      </c>
      <c r="E25" s="18"/>
      <c r="F25" s="18"/>
      <c r="G25" s="22">
        <v>0</v>
      </c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</row>
    <row r="26" spans="1:67" s="1" customFormat="1" ht="15.5" x14ac:dyDescent="0.35">
      <c r="A26">
        <v>21</v>
      </c>
      <c r="B26" s="17" t="s">
        <v>69</v>
      </c>
      <c r="C26" s="20">
        <v>21</v>
      </c>
      <c r="D26" s="20">
        <v>1</v>
      </c>
      <c r="E26" s="18"/>
      <c r="F26" s="18"/>
      <c r="G26" s="22">
        <v>0</v>
      </c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</row>
    <row r="27" spans="1:67" s="1" customFormat="1" ht="15.5" x14ac:dyDescent="0.35">
      <c r="A27">
        <v>22</v>
      </c>
      <c r="B27" s="17" t="s">
        <v>70</v>
      </c>
      <c r="C27" s="20">
        <v>21</v>
      </c>
      <c r="D27" s="20">
        <v>4</v>
      </c>
      <c r="E27" s="18"/>
      <c r="F27" s="18"/>
      <c r="G27" s="22">
        <v>0</v>
      </c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</row>
    <row r="28" spans="1:67" s="1" customFormat="1" ht="15.5" x14ac:dyDescent="0.35">
      <c r="A28"/>
      <c r="C28" s="20"/>
      <c r="D28" s="20"/>
      <c r="E28" s="18"/>
      <c r="F28" s="18"/>
      <c r="G28" s="22">
        <v>0</v>
      </c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</row>
    <row r="29" spans="1:67" s="1" customFormat="1" ht="15.5" x14ac:dyDescent="0.35">
      <c r="A29"/>
      <c r="B29" s="17"/>
      <c r="C29" s="20"/>
      <c r="D29" s="20"/>
      <c r="E29" s="18"/>
      <c r="F29" s="18"/>
      <c r="G29" s="22">
        <v>0</v>
      </c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</row>
    <row r="30" spans="1:67" s="1" customFormat="1" ht="15.5" x14ac:dyDescent="0.35">
      <c r="A30"/>
      <c r="B30" s="17"/>
      <c r="C30" s="20"/>
      <c r="D30" s="20"/>
      <c r="E30" s="18"/>
      <c r="F30" s="18"/>
      <c r="G30" s="22">
        <v>0</v>
      </c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</row>
    <row r="31" spans="1:67" s="1" customFormat="1" ht="15.5" x14ac:dyDescent="0.35">
      <c r="A31"/>
      <c r="B31" s="17"/>
      <c r="C31" s="20"/>
      <c r="D31" s="20"/>
      <c r="E31" s="18"/>
      <c r="F31" s="18"/>
      <c r="G31" s="22">
        <v>0</v>
      </c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</row>
    <row r="32" spans="1:67" s="1" customFormat="1" ht="15.5" x14ac:dyDescent="0.35">
      <c r="A32"/>
      <c r="B32" s="17"/>
      <c r="C32" s="20"/>
      <c r="D32" s="20"/>
      <c r="E32" s="18"/>
      <c r="F32" s="18"/>
      <c r="G32" s="22">
        <v>0</v>
      </c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</row>
    <row r="33" spans="1:67" s="1" customFormat="1" ht="15.5" x14ac:dyDescent="0.35">
      <c r="A33"/>
      <c r="B33" s="17"/>
      <c r="C33" s="20"/>
      <c r="D33" s="20"/>
      <c r="E33" s="18"/>
      <c r="F33" s="18"/>
      <c r="G33" s="22">
        <v>0</v>
      </c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</row>
  </sheetData>
  <mergeCells count="25">
    <mergeCell ref="AI2:AP2"/>
    <mergeCell ref="B3:B5"/>
    <mergeCell ref="C3:C5"/>
    <mergeCell ref="D3:D5"/>
    <mergeCell ref="E3:E5"/>
    <mergeCell ref="F3:F5"/>
    <mergeCell ref="Y4:AB4"/>
    <mergeCell ref="K2:O2"/>
    <mergeCell ref="Q2:T2"/>
    <mergeCell ref="V2:Y2"/>
    <mergeCell ref="AA2:AG2"/>
    <mergeCell ref="G3:G5"/>
    <mergeCell ref="H4:K4"/>
    <mergeCell ref="L4:O4"/>
    <mergeCell ref="P4:T4"/>
    <mergeCell ref="U4:X4"/>
    <mergeCell ref="BC4:BG4"/>
    <mergeCell ref="BH4:BK4"/>
    <mergeCell ref="BL4:BO4"/>
    <mergeCell ref="AC4:AG4"/>
    <mergeCell ref="AH4:AK4"/>
    <mergeCell ref="AL4:AO4"/>
    <mergeCell ref="AP4:AT4"/>
    <mergeCell ref="AU4:AX4"/>
    <mergeCell ref="AY4:BB4"/>
  </mergeCells>
  <conditionalFormatting sqref="B34:BO34">
    <cfRule type="expression" dxfId="35" priority="26">
      <formula>TRUE</formula>
    </cfRule>
  </conditionalFormatting>
  <conditionalFormatting sqref="H7:P11 R7:BO11 H12:BO33">
    <cfRule type="expression" dxfId="34" priority="25">
      <formula>PercentComplete</formula>
    </cfRule>
    <cfRule type="expression" dxfId="33" priority="27">
      <formula>PercentCompleteBeyond</formula>
    </cfRule>
    <cfRule type="expression" dxfId="32" priority="28">
      <formula>Actual</formula>
    </cfRule>
    <cfRule type="expression" dxfId="31" priority="29">
      <formula>ActualBeyond</formula>
    </cfRule>
    <cfRule type="expression" dxfId="30" priority="30">
      <formula>Plan</formula>
    </cfRule>
    <cfRule type="expression" dxfId="29" priority="31">
      <formula>H$5=period_selected</formula>
    </cfRule>
    <cfRule type="expression" dxfId="28" priority="33">
      <formula>MOD(COLUMN(),2)</formula>
    </cfRule>
    <cfRule type="expression" dxfId="27" priority="34">
      <formula>MOD(COLUMN(),2)=0</formula>
    </cfRule>
  </conditionalFormatting>
  <conditionalFormatting sqref="H5:BO5 H6">
    <cfRule type="expression" dxfId="26" priority="32">
      <formula>H$5=period_selected</formula>
    </cfRule>
  </conditionalFormatting>
  <conditionalFormatting sqref="I6:O6">
    <cfRule type="expression" dxfId="25" priority="17">
      <formula>PercentComplete</formula>
    </cfRule>
    <cfRule type="expression" dxfId="24" priority="18">
      <formula>PercentCompleteBeyond</formula>
    </cfRule>
    <cfRule type="expression" dxfId="23" priority="19">
      <formula>Actual</formula>
    </cfRule>
    <cfRule type="expression" dxfId="22" priority="20">
      <formula>ActualBeyond</formula>
    </cfRule>
    <cfRule type="expression" dxfId="21" priority="21">
      <formula>Plan</formula>
    </cfRule>
    <cfRule type="expression" dxfId="20" priority="22">
      <formula>I$5=period_selected</formula>
    </cfRule>
    <cfRule type="expression" dxfId="19" priority="23">
      <formula>MOD(COLUMN(),2)</formula>
    </cfRule>
    <cfRule type="expression" dxfId="18" priority="24">
      <formula>MOD(COLUMN(),2)=0</formula>
    </cfRule>
  </conditionalFormatting>
  <conditionalFormatting sqref="Q6:BO6">
    <cfRule type="expression" dxfId="17" priority="9">
      <formula>PercentComplete</formula>
    </cfRule>
    <cfRule type="expression" dxfId="16" priority="10">
      <formula>PercentCompleteBeyond</formula>
    </cfRule>
    <cfRule type="expression" dxfId="15" priority="11">
      <formula>Actual</formula>
    </cfRule>
    <cfRule type="expression" dxfId="14" priority="12">
      <formula>ActualBeyond</formula>
    </cfRule>
    <cfRule type="expression" dxfId="13" priority="13">
      <formula>Plan</formula>
    </cfRule>
    <cfRule type="expression" dxfId="12" priority="14">
      <formula>Q$5=period_selected</formula>
    </cfRule>
    <cfRule type="expression" dxfId="11" priority="15">
      <formula>MOD(COLUMN(),2)</formula>
    </cfRule>
    <cfRule type="expression" dxfId="10" priority="16">
      <formula>MOD(COLUMN(),2)=0</formula>
    </cfRule>
  </conditionalFormatting>
  <dataValidations count="16">
    <dataValidation allowBlank="1" showInputMessage="1" showErrorMessage="1" prompt="Select a period to highlight in H2. A Chart legend is in J2 to AI2" sqref="B2:F2" xr:uid="{878E691E-190F-47A7-892D-AC33036CD707}"/>
    <dataValidation allowBlank="1" showInputMessage="1" showErrorMessage="1" prompt="Title of the project. Enter a new title in this cell. Highlight a period in H2. Chart legend is in J2 to AI2" sqref="B1" xr:uid="{69E3AE0E-E7DF-4B45-8B65-F0C80378B24C}"/>
    <dataValidation allowBlank="1" showInputMessage="1" showErrorMessage="1" prompt="Enter the percentage of project completed in column G, starting with cell G5" sqref="G3:G6" xr:uid="{1DA9F22E-2231-46B7-A43D-F30187E658FB}"/>
    <dataValidation allowBlank="1" showInputMessage="1" showErrorMessage="1" prompt="Enter actual duration period in column F, starting with cell F5" sqref="F3:F6" xr:uid="{D328F6D3-CF0F-4619-A4C0-82BC41328619}"/>
    <dataValidation allowBlank="1" showInputMessage="1" showErrorMessage="1" prompt="Enter actual start period in column E, starting with cell E5" sqref="E3:E6" xr:uid="{2B0ED015-D85B-44C4-B616-22990E9C8510}"/>
    <dataValidation allowBlank="1" showInputMessage="1" showErrorMessage="1" prompt="Enter plan duration period in column D, starting with cell D5" sqref="D3:D6" xr:uid="{E080EA5F-CFD4-42F6-B3AF-27F33C34BAF0}"/>
    <dataValidation allowBlank="1" showInputMessage="1" showErrorMessage="1" prompt="Enter plan start period in column C, starting with cell C5" sqref="C3:C6" xr:uid="{23EF2833-53B6-4C7B-A05C-FD5A22D1EF79}"/>
    <dataValidation allowBlank="1" showInputMessage="1" showErrorMessage="1" prompt="Enter activity in column B, starting with cell B5_x000a_" sqref="B3:B6" xr:uid="{C04FF360-E0FC-4581-8AF8-03A7CB6E5BC5}"/>
    <dataValidation allowBlank="1" showInputMessage="1" showErrorMessage="1" prompt="Periods are charted from 1 to 60 starting from cell H4 to cell BO4 " sqref="H3:H4" xr:uid="{CBFD8BE5-6EF6-4AA8-BD4C-95B432E59A4B}"/>
    <dataValidation allowBlank="1" showInputMessage="1" showErrorMessage="1" prompt="This legend cell indicates the percentage of project completed beyond plan" sqref="AH2" xr:uid="{9405837E-3596-46D1-A95C-D092C24613E3}"/>
    <dataValidation allowBlank="1" showInputMessage="1" showErrorMessage="1" prompt="This legend cell indicates actual duration beyond plan" sqref="Z2" xr:uid="{F38EB002-025E-42A1-96BC-75351EE14597}"/>
    <dataValidation allowBlank="1" showInputMessage="1" showErrorMessage="1" prompt="This legend cell indicates the percentage of project completed" sqref="U2" xr:uid="{1809CA88-2343-4CA1-B84E-18FDDD890767}"/>
    <dataValidation allowBlank="1" showInputMessage="1" showErrorMessage="1" prompt="This legend cell indicates actual duration" sqref="P2 P6" xr:uid="{CF4566B7-C46A-4772-A2AF-9F97985978E5}"/>
    <dataValidation allowBlank="1" showInputMessage="1" showErrorMessage="1" prompt="This legend cell indicates plan duration" sqref="J2" xr:uid="{5617C6C0-7CCF-4DAA-890F-669CAD345A0E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DBD8F0B-D26E-47CE-BD07-19EFB46E3CF8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619457CE-7CB0-4B02-90DB-8C6CBA7B2632}"/>
  </dataValidations>
  <printOptions horizontalCentered="1"/>
  <pageMargins left="0.45" right="0.45" top="0.5" bottom="0.5" header="0.3" footer="0.3"/>
  <pageSetup scale="41" fitToHeight="0" orientation="landscape" r:id="rId1"/>
  <headerFooter differentFirst="1"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6FA42-2A57-4557-9D74-095F0E94D7E9}">
  <dimension ref="A2:C14"/>
  <sheetViews>
    <sheetView workbookViewId="0">
      <selection activeCell="B12" sqref="B12"/>
    </sheetView>
  </sheetViews>
  <sheetFormatPr defaultRowHeight="14.5" x14ac:dyDescent="0.35"/>
  <cols>
    <col min="1" max="1" width="6.75" customWidth="1"/>
    <col min="2" max="2" width="82.33203125" customWidth="1"/>
  </cols>
  <sheetData>
    <row r="2" spans="1:3" x14ac:dyDescent="0.35">
      <c r="A2" s="30" t="s">
        <v>71</v>
      </c>
    </row>
    <row r="4" spans="1:3" x14ac:dyDescent="0.35">
      <c r="A4" t="s">
        <v>72</v>
      </c>
      <c r="B4" t="s">
        <v>73</v>
      </c>
    </row>
    <row r="5" spans="1:3" ht="43.5" x14ac:dyDescent="0.35">
      <c r="A5">
        <v>1</v>
      </c>
      <c r="B5" s="7" t="s">
        <v>74</v>
      </c>
    </row>
    <row r="6" spans="1:3" x14ac:dyDescent="0.35">
      <c r="A6">
        <v>2</v>
      </c>
      <c r="B6" s="7" t="s">
        <v>75</v>
      </c>
      <c r="C6" s="30"/>
    </row>
    <row r="7" spans="1:3" x14ac:dyDescent="0.35">
      <c r="A7">
        <v>3</v>
      </c>
      <c r="B7" s="7" t="s">
        <v>76</v>
      </c>
      <c r="C7" s="30"/>
    </row>
    <row r="8" spans="1:3" ht="29" x14ac:dyDescent="0.35">
      <c r="A8">
        <v>4</v>
      </c>
      <c r="B8" s="7" t="s">
        <v>77</v>
      </c>
    </row>
    <row r="9" spans="1:3" ht="29" x14ac:dyDescent="0.35">
      <c r="A9">
        <v>5</v>
      </c>
      <c r="B9" s="7" t="s">
        <v>78</v>
      </c>
    </row>
    <row r="11" spans="1:3" x14ac:dyDescent="0.35">
      <c r="B11" s="31"/>
    </row>
    <row r="12" spans="1:3" x14ac:dyDescent="0.35">
      <c r="B12" s="31"/>
    </row>
    <row r="13" spans="1:3" x14ac:dyDescent="0.35">
      <c r="B13" s="31"/>
    </row>
    <row r="14" spans="1:3" x14ac:dyDescent="0.35">
      <c r="B14" s="3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A1:BO31"/>
  <sheetViews>
    <sheetView showGridLines="0" zoomScaleNormal="100" zoomScaleSheetLayoutView="80" workbookViewId="0">
      <pane xSplit="7" ySplit="5" topLeftCell="H6" activePane="bottomRight" state="frozen"/>
      <selection pane="topRight" activeCell="H1" sqref="H1"/>
      <selection pane="bottomLeft" activeCell="A5" sqref="A5"/>
      <selection pane="bottomRight" activeCell="B1" sqref="B1"/>
    </sheetView>
  </sheetViews>
  <sheetFormatPr defaultColWidth="2.75" defaultRowHeight="17" x14ac:dyDescent="0.4"/>
  <cols>
    <col min="1" max="1" width="2.33203125" customWidth="1"/>
    <col min="2" max="2" width="78.25" style="2" customWidth="1"/>
    <col min="3" max="3" width="8.33203125" style="1" customWidth="1"/>
    <col min="4" max="4" width="10.75" style="1" customWidth="1"/>
    <col min="5" max="5" width="9.75" style="1" customWidth="1"/>
    <col min="6" max="6" width="10.33203125" style="1" customWidth="1"/>
    <col min="7" max="7" width="12.33203125" style="3" customWidth="1"/>
    <col min="8" max="8" width="2.33203125" style="1" customWidth="1"/>
    <col min="9" max="16" width="2.75" style="1"/>
    <col min="17" max="27" width="3.33203125" style="1" bestFit="1" customWidth="1"/>
    <col min="28" max="67" width="3.33203125" bestFit="1" customWidth="1"/>
  </cols>
  <sheetData>
    <row r="1" spans="1:67" ht="23.9" customHeight="1" thickBot="1" x14ac:dyDescent="1.25">
      <c r="B1" s="28" t="s">
        <v>79</v>
      </c>
      <c r="C1" s="8"/>
      <c r="D1" s="8"/>
      <c r="E1" s="8"/>
      <c r="F1" s="8"/>
      <c r="G1" s="8"/>
    </row>
    <row r="2" spans="1:67" ht="16.399999999999999" customHeight="1" thickTop="1" thickBot="1" x14ac:dyDescent="0.4">
      <c r="B2" s="19" t="s">
        <v>1</v>
      </c>
      <c r="C2" s="16"/>
      <c r="D2" s="16"/>
      <c r="E2" s="16"/>
      <c r="F2" s="16"/>
      <c r="G2" s="27" t="s">
        <v>2</v>
      </c>
      <c r="H2" s="9">
        <v>1</v>
      </c>
      <c r="J2" s="29"/>
      <c r="K2" s="57" t="s">
        <v>3</v>
      </c>
      <c r="L2" s="65"/>
      <c r="M2" s="65"/>
      <c r="N2" s="65"/>
      <c r="O2" s="66"/>
      <c r="P2" s="11"/>
      <c r="Q2" s="57" t="s">
        <v>4</v>
      </c>
      <c r="R2" s="58"/>
      <c r="S2" s="58"/>
      <c r="T2" s="66"/>
      <c r="U2" s="12"/>
      <c r="V2" s="54" t="s">
        <v>5</v>
      </c>
      <c r="W2" s="62"/>
      <c r="X2" s="62"/>
      <c r="Y2" s="67"/>
      <c r="Z2" s="13"/>
      <c r="AA2" s="54" t="s">
        <v>6</v>
      </c>
      <c r="AB2" s="62"/>
      <c r="AC2" s="62"/>
      <c r="AD2" s="62"/>
      <c r="AE2" s="62"/>
      <c r="AF2" s="62"/>
      <c r="AG2" s="67"/>
      <c r="AH2" s="14"/>
      <c r="AI2" s="54" t="s">
        <v>7</v>
      </c>
      <c r="AJ2" s="62"/>
      <c r="AK2" s="62"/>
      <c r="AL2" s="62"/>
      <c r="AM2" s="62"/>
      <c r="AN2" s="62"/>
      <c r="AO2" s="62"/>
      <c r="AP2" s="62"/>
    </row>
    <row r="3" spans="1:67" s="7" customFormat="1" ht="15" thickTop="1" x14ac:dyDescent="0.35">
      <c r="B3" s="55" t="s">
        <v>8</v>
      </c>
      <c r="C3" s="56" t="s">
        <v>9</v>
      </c>
      <c r="D3" s="56" t="s">
        <v>10</v>
      </c>
      <c r="E3" s="56" t="s">
        <v>11</v>
      </c>
      <c r="F3" s="56" t="s">
        <v>12</v>
      </c>
      <c r="G3" s="59" t="s">
        <v>13</v>
      </c>
      <c r="H3" s="15" t="s">
        <v>14</v>
      </c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67" s="7" customFormat="1" ht="14.5" x14ac:dyDescent="0.35">
      <c r="B4" s="55"/>
      <c r="C4" s="56"/>
      <c r="D4" s="56"/>
      <c r="E4" s="56"/>
      <c r="F4" s="56"/>
      <c r="G4" s="56"/>
      <c r="H4" s="53" t="s">
        <v>15</v>
      </c>
      <c r="I4" s="60"/>
      <c r="J4" s="60"/>
      <c r="K4" s="61"/>
      <c r="L4" s="53" t="s">
        <v>16</v>
      </c>
      <c r="M4" s="60"/>
      <c r="N4" s="60"/>
      <c r="O4" s="61"/>
      <c r="P4" s="53" t="s">
        <v>17</v>
      </c>
      <c r="Q4" s="60"/>
      <c r="R4" s="60"/>
      <c r="S4" s="60"/>
      <c r="T4" s="61"/>
      <c r="U4" s="53" t="s">
        <v>18</v>
      </c>
      <c r="V4" s="60"/>
      <c r="W4" s="60"/>
      <c r="X4" s="61"/>
      <c r="Y4" s="53" t="s">
        <v>19</v>
      </c>
      <c r="Z4" s="60"/>
      <c r="AA4" s="60"/>
      <c r="AB4" s="61"/>
      <c r="AC4" s="53" t="s">
        <v>20</v>
      </c>
      <c r="AD4" s="60"/>
      <c r="AE4" s="60"/>
      <c r="AF4" s="60"/>
      <c r="AG4" s="61"/>
      <c r="AH4" s="53" t="s">
        <v>21</v>
      </c>
      <c r="AI4" s="60"/>
      <c r="AJ4" s="60"/>
      <c r="AK4" s="61"/>
      <c r="AL4" s="53" t="s">
        <v>22</v>
      </c>
      <c r="AM4" s="60"/>
      <c r="AN4" s="60"/>
      <c r="AO4" s="61"/>
      <c r="AP4" s="53" t="s">
        <v>23</v>
      </c>
      <c r="AQ4" s="60"/>
      <c r="AR4" s="60"/>
      <c r="AS4" s="60"/>
      <c r="AT4" s="61"/>
      <c r="AU4" s="53" t="s">
        <v>24</v>
      </c>
      <c r="AV4" s="60"/>
      <c r="AW4" s="60"/>
      <c r="AX4" s="61"/>
      <c r="AY4" s="53" t="s">
        <v>25</v>
      </c>
      <c r="AZ4" s="60"/>
      <c r="BA4" s="60"/>
      <c r="BB4" s="61"/>
      <c r="BC4" s="53" t="s">
        <v>26</v>
      </c>
      <c r="BD4" s="60"/>
      <c r="BE4" s="60"/>
      <c r="BF4" s="60"/>
      <c r="BG4" s="61"/>
      <c r="BH4" s="53" t="s">
        <v>15</v>
      </c>
      <c r="BI4" s="60"/>
      <c r="BJ4" s="60"/>
      <c r="BK4" s="61"/>
      <c r="BL4" s="53" t="s">
        <v>16</v>
      </c>
      <c r="BM4" s="60"/>
      <c r="BN4" s="60"/>
      <c r="BO4" s="61"/>
    </row>
    <row r="5" spans="1:67" ht="14.5" x14ac:dyDescent="0.35">
      <c r="B5" s="63"/>
      <c r="C5" s="64"/>
      <c r="D5" s="64"/>
      <c r="E5" s="64"/>
      <c r="F5" s="64"/>
      <c r="G5" s="64"/>
      <c r="H5" s="24">
        <v>1</v>
      </c>
      <c r="I5" s="25">
        <v>2</v>
      </c>
      <c r="J5" s="25">
        <v>3</v>
      </c>
      <c r="K5" s="26">
        <v>4</v>
      </c>
      <c r="L5" s="24">
        <v>5</v>
      </c>
      <c r="M5" s="25">
        <v>6</v>
      </c>
      <c r="N5" s="25">
        <v>7</v>
      </c>
      <c r="O5" s="26">
        <v>8</v>
      </c>
      <c r="P5" s="24">
        <v>9</v>
      </c>
      <c r="Q5" s="25">
        <v>10</v>
      </c>
      <c r="R5" s="25">
        <v>11</v>
      </c>
      <c r="S5" s="25">
        <v>12</v>
      </c>
      <c r="T5" s="26">
        <v>13</v>
      </c>
      <c r="U5" s="24">
        <v>14</v>
      </c>
      <c r="V5" s="25">
        <v>15</v>
      </c>
      <c r="W5" s="25">
        <v>16</v>
      </c>
      <c r="X5" s="26">
        <v>17</v>
      </c>
      <c r="Y5" s="24">
        <v>18</v>
      </c>
      <c r="Z5" s="25">
        <v>19</v>
      </c>
      <c r="AA5" s="25">
        <v>20</v>
      </c>
      <c r="AB5" s="26">
        <v>21</v>
      </c>
      <c r="AC5" s="24">
        <v>22</v>
      </c>
      <c r="AD5" s="25">
        <v>23</v>
      </c>
      <c r="AE5" s="25">
        <v>24</v>
      </c>
      <c r="AF5" s="25">
        <v>25</v>
      </c>
      <c r="AG5" s="26">
        <v>26</v>
      </c>
      <c r="AH5" s="24">
        <v>27</v>
      </c>
      <c r="AI5" s="25">
        <v>28</v>
      </c>
      <c r="AJ5" s="25">
        <v>29</v>
      </c>
      <c r="AK5" s="26">
        <v>30</v>
      </c>
      <c r="AL5" s="24">
        <v>31</v>
      </c>
      <c r="AM5" s="25">
        <v>32</v>
      </c>
      <c r="AN5" s="25">
        <v>33</v>
      </c>
      <c r="AO5" s="26">
        <v>34</v>
      </c>
      <c r="AP5" s="24">
        <v>35</v>
      </c>
      <c r="AQ5" s="25">
        <v>36</v>
      </c>
      <c r="AR5" s="25">
        <v>37</v>
      </c>
      <c r="AS5" s="25">
        <v>38</v>
      </c>
      <c r="AT5" s="26">
        <v>39</v>
      </c>
      <c r="AU5" s="24">
        <v>40</v>
      </c>
      <c r="AV5" s="25">
        <v>41</v>
      </c>
      <c r="AW5" s="25">
        <v>42</v>
      </c>
      <c r="AX5" s="26">
        <v>43</v>
      </c>
      <c r="AY5" s="24">
        <v>44</v>
      </c>
      <c r="AZ5" s="25">
        <v>45</v>
      </c>
      <c r="BA5" s="25">
        <v>46</v>
      </c>
      <c r="BB5" s="26">
        <v>47</v>
      </c>
      <c r="BC5" s="24">
        <v>48</v>
      </c>
      <c r="BD5" s="25">
        <v>49</v>
      </c>
      <c r="BE5" s="25">
        <v>50</v>
      </c>
      <c r="BF5" s="25">
        <v>51</v>
      </c>
      <c r="BG5" s="26">
        <v>52</v>
      </c>
      <c r="BH5" s="24">
        <v>53</v>
      </c>
      <c r="BI5" s="25">
        <v>54</v>
      </c>
      <c r="BJ5" s="25">
        <v>55</v>
      </c>
      <c r="BK5" s="26">
        <v>56</v>
      </c>
      <c r="BL5" s="24">
        <v>57</v>
      </c>
      <c r="BM5" s="25">
        <v>58</v>
      </c>
      <c r="BN5" s="25">
        <v>59</v>
      </c>
      <c r="BO5" s="26">
        <v>60</v>
      </c>
    </row>
    <row r="6" spans="1:67" ht="15.5" x14ac:dyDescent="0.35">
      <c r="A6" s="23">
        <v>2</v>
      </c>
      <c r="B6" s="17" t="s">
        <v>80</v>
      </c>
      <c r="C6" s="20">
        <v>2</v>
      </c>
      <c r="D6" s="20">
        <f>3*4</f>
        <v>12</v>
      </c>
      <c r="E6" s="18"/>
      <c r="F6" s="18"/>
      <c r="G6" s="22">
        <v>0.25</v>
      </c>
    </row>
    <row r="7" spans="1:67" ht="15.5" x14ac:dyDescent="0.35">
      <c r="A7" s="23">
        <v>2</v>
      </c>
      <c r="B7" s="17" t="s">
        <v>81</v>
      </c>
      <c r="C7" s="20">
        <v>9</v>
      </c>
      <c r="D7" s="20">
        <f>2*4</f>
        <v>8</v>
      </c>
      <c r="E7" s="18"/>
      <c r="F7" s="18"/>
      <c r="G7" s="22">
        <v>0</v>
      </c>
    </row>
    <row r="8" spans="1:67" ht="15.5" x14ac:dyDescent="0.35">
      <c r="A8" s="23">
        <v>3</v>
      </c>
      <c r="B8" s="17" t="s">
        <v>82</v>
      </c>
      <c r="C8" s="20">
        <v>11</v>
      </c>
      <c r="D8" s="20">
        <f>5*4</f>
        <v>20</v>
      </c>
      <c r="E8" s="18"/>
      <c r="F8" s="18"/>
      <c r="G8" s="22">
        <v>0</v>
      </c>
    </row>
    <row r="9" spans="1:67" ht="15.5" x14ac:dyDescent="0.35">
      <c r="A9" s="23">
        <v>3</v>
      </c>
      <c r="B9" s="17" t="s">
        <v>83</v>
      </c>
      <c r="C9" s="20">
        <v>23</v>
      </c>
      <c r="D9" s="20">
        <f>2*4</f>
        <v>8</v>
      </c>
      <c r="E9" s="18"/>
      <c r="F9" s="18"/>
      <c r="G9" s="22">
        <v>0</v>
      </c>
    </row>
    <row r="10" spans="1:67" ht="15.5" x14ac:dyDescent="0.35">
      <c r="A10" s="23">
        <v>4</v>
      </c>
      <c r="B10" s="17" t="s">
        <v>84</v>
      </c>
      <c r="C10" s="20">
        <v>17</v>
      </c>
      <c r="D10" s="20">
        <f>4.5*4</f>
        <v>18</v>
      </c>
      <c r="E10" s="18"/>
      <c r="F10" s="18"/>
      <c r="G10" s="22">
        <v>0</v>
      </c>
    </row>
    <row r="11" spans="1:67" ht="15.5" x14ac:dyDescent="0.35">
      <c r="A11" s="23">
        <v>7</v>
      </c>
      <c r="B11" s="17" t="s">
        <v>85</v>
      </c>
      <c r="C11" s="20">
        <v>29</v>
      </c>
      <c r="D11" s="20">
        <v>6</v>
      </c>
      <c r="E11" s="18"/>
      <c r="F11" s="18"/>
      <c r="G11" s="22">
        <v>0</v>
      </c>
    </row>
    <row r="12" spans="1:67" ht="15.5" x14ac:dyDescent="0.35">
      <c r="A12" s="23">
        <v>8</v>
      </c>
      <c r="B12" s="17" t="s">
        <v>86</v>
      </c>
      <c r="C12" s="20">
        <v>29</v>
      </c>
      <c r="D12" s="20">
        <v>6</v>
      </c>
      <c r="E12" s="18"/>
      <c r="F12" s="18"/>
      <c r="G12" s="22">
        <v>0</v>
      </c>
    </row>
    <row r="13" spans="1:67" ht="15.5" x14ac:dyDescent="0.35">
      <c r="A13" s="23">
        <v>5</v>
      </c>
      <c r="B13" s="17" t="s">
        <v>87</v>
      </c>
      <c r="C13" s="20">
        <v>29</v>
      </c>
      <c r="D13" s="20">
        <v>7</v>
      </c>
      <c r="E13" s="18"/>
      <c r="F13" s="18"/>
      <c r="G13" s="22">
        <v>0</v>
      </c>
    </row>
    <row r="14" spans="1:67" ht="15.5" x14ac:dyDescent="0.35">
      <c r="A14" s="23">
        <v>6</v>
      </c>
      <c r="B14" s="17" t="s">
        <v>88</v>
      </c>
      <c r="C14" s="20">
        <v>29</v>
      </c>
      <c r="D14" s="20">
        <f>3*4</f>
        <v>12</v>
      </c>
      <c r="E14" s="18"/>
      <c r="F14" s="18"/>
      <c r="G14" s="22">
        <v>0</v>
      </c>
    </row>
    <row r="15" spans="1:67" ht="15.5" x14ac:dyDescent="0.35">
      <c r="B15" s="17" t="s">
        <v>89</v>
      </c>
      <c r="C15" s="20"/>
      <c r="D15" s="20"/>
      <c r="E15" s="18"/>
      <c r="F15" s="18"/>
      <c r="G15" s="22">
        <v>0</v>
      </c>
    </row>
    <row r="16" spans="1:67" ht="15.5" x14ac:dyDescent="0.35">
      <c r="B16" s="17" t="s">
        <v>90</v>
      </c>
      <c r="C16" s="21"/>
      <c r="D16" s="20"/>
      <c r="E16" s="18"/>
      <c r="F16" s="18"/>
      <c r="G16" s="22">
        <v>0</v>
      </c>
    </row>
    <row r="17" spans="2:7" ht="15.5" x14ac:dyDescent="0.35">
      <c r="B17" s="17" t="s">
        <v>91</v>
      </c>
      <c r="C17" s="20"/>
      <c r="D17" s="20"/>
      <c r="E17" s="18"/>
      <c r="F17" s="18"/>
      <c r="G17" s="22">
        <v>0</v>
      </c>
    </row>
    <row r="18" spans="2:7" ht="15.5" x14ac:dyDescent="0.35">
      <c r="B18" s="17" t="s">
        <v>92</v>
      </c>
      <c r="C18" s="20"/>
      <c r="D18" s="20"/>
      <c r="E18" s="18"/>
      <c r="F18" s="18"/>
      <c r="G18" s="22">
        <v>0</v>
      </c>
    </row>
    <row r="19" spans="2:7" ht="15.5" x14ac:dyDescent="0.35">
      <c r="B19" s="17" t="s">
        <v>93</v>
      </c>
      <c r="C19" s="20"/>
      <c r="D19" s="20"/>
      <c r="E19" s="18"/>
      <c r="F19" s="18"/>
      <c r="G19" s="22">
        <v>0</v>
      </c>
    </row>
    <row r="20" spans="2:7" ht="15.5" x14ac:dyDescent="0.35">
      <c r="B20" s="17" t="s">
        <v>94</v>
      </c>
      <c r="C20" s="20"/>
      <c r="D20" s="20"/>
      <c r="E20" s="18"/>
      <c r="F20" s="18"/>
      <c r="G20" s="22">
        <v>0</v>
      </c>
    </row>
    <row r="21" spans="2:7" ht="15.5" x14ac:dyDescent="0.35">
      <c r="B21" s="17" t="s">
        <v>95</v>
      </c>
      <c r="C21" s="20"/>
      <c r="D21" s="20"/>
      <c r="E21" s="18"/>
      <c r="F21" s="18"/>
      <c r="G21" s="22">
        <v>0</v>
      </c>
    </row>
    <row r="22" spans="2:7" ht="15.5" x14ac:dyDescent="0.35">
      <c r="B22" s="17" t="s">
        <v>96</v>
      </c>
      <c r="C22" s="20"/>
      <c r="D22" s="20"/>
      <c r="E22" s="18"/>
      <c r="F22" s="18"/>
      <c r="G22" s="22">
        <v>0</v>
      </c>
    </row>
    <row r="23" spans="2:7" ht="15.5" x14ac:dyDescent="0.35">
      <c r="B23" s="17" t="s">
        <v>97</v>
      </c>
      <c r="C23" s="20"/>
      <c r="D23" s="20"/>
      <c r="E23" s="18"/>
      <c r="F23" s="18"/>
      <c r="G23" s="22">
        <v>0</v>
      </c>
    </row>
    <row r="24" spans="2:7" ht="15.5" x14ac:dyDescent="0.35">
      <c r="B24" s="17" t="s">
        <v>98</v>
      </c>
      <c r="C24" s="20"/>
      <c r="D24" s="20"/>
      <c r="E24" s="18"/>
      <c r="F24" s="18"/>
      <c r="G24" s="22">
        <v>0</v>
      </c>
    </row>
    <row r="25" spans="2:7" ht="15.5" x14ac:dyDescent="0.35">
      <c r="B25" s="17" t="s">
        <v>99</v>
      </c>
      <c r="C25" s="20"/>
      <c r="D25" s="20"/>
      <c r="E25" s="18"/>
      <c r="F25" s="18"/>
      <c r="G25" s="22">
        <v>0</v>
      </c>
    </row>
    <row r="26" spans="2:7" ht="15.5" x14ac:dyDescent="0.35">
      <c r="B26" s="17" t="s">
        <v>100</v>
      </c>
      <c r="C26" s="20"/>
      <c r="D26" s="20"/>
      <c r="E26" s="18"/>
      <c r="F26" s="18"/>
      <c r="G26" s="22">
        <v>0</v>
      </c>
    </row>
    <row r="27" spans="2:7" ht="15.5" x14ac:dyDescent="0.35">
      <c r="B27" s="17" t="s">
        <v>101</v>
      </c>
      <c r="C27" s="20"/>
      <c r="D27" s="20"/>
      <c r="E27" s="18"/>
      <c r="F27" s="18"/>
      <c r="G27" s="22">
        <v>0</v>
      </c>
    </row>
    <row r="28" spans="2:7" ht="15.5" x14ac:dyDescent="0.35">
      <c r="B28" s="17" t="s">
        <v>102</v>
      </c>
      <c r="C28" s="20"/>
      <c r="D28" s="20"/>
      <c r="E28" s="18"/>
      <c r="F28" s="18"/>
      <c r="G28" s="22">
        <v>0</v>
      </c>
    </row>
    <row r="29" spans="2:7" ht="15.5" x14ac:dyDescent="0.35">
      <c r="B29" s="17" t="s">
        <v>103</v>
      </c>
      <c r="C29" s="20"/>
      <c r="D29" s="20"/>
      <c r="E29" s="18"/>
      <c r="F29" s="18"/>
      <c r="G29" s="22">
        <v>0</v>
      </c>
    </row>
    <row r="30" spans="2:7" ht="15.5" x14ac:dyDescent="0.35">
      <c r="B30" s="17" t="s">
        <v>104</v>
      </c>
      <c r="C30" s="20"/>
      <c r="D30" s="20"/>
      <c r="E30" s="18"/>
      <c r="F30" s="18"/>
      <c r="G30" s="22">
        <v>0</v>
      </c>
    </row>
    <row r="31" spans="2:7" ht="15.5" x14ac:dyDescent="0.35">
      <c r="B31" s="17" t="s">
        <v>105</v>
      </c>
      <c r="C31" s="20"/>
      <c r="D31" s="20"/>
      <c r="E31" s="18"/>
      <c r="F31" s="18"/>
      <c r="G31" s="22">
        <v>0</v>
      </c>
    </row>
  </sheetData>
  <mergeCells count="25">
    <mergeCell ref="AI2:AP2"/>
    <mergeCell ref="B3:B5"/>
    <mergeCell ref="C3:C5"/>
    <mergeCell ref="D3:D5"/>
    <mergeCell ref="E3:E5"/>
    <mergeCell ref="F3:F5"/>
    <mergeCell ref="G3:G5"/>
    <mergeCell ref="K2:O2"/>
    <mergeCell ref="Q2:T2"/>
    <mergeCell ref="V2:Y2"/>
    <mergeCell ref="AA2:AG2"/>
    <mergeCell ref="H4:K4"/>
    <mergeCell ref="L4:O4"/>
    <mergeCell ref="BH4:BK4"/>
    <mergeCell ref="BL4:BO4"/>
    <mergeCell ref="P4:T4"/>
    <mergeCell ref="U4:X4"/>
    <mergeCell ref="Y4:AB4"/>
    <mergeCell ref="AC4:AG4"/>
    <mergeCell ref="AH4:AK4"/>
    <mergeCell ref="AU4:AX4"/>
    <mergeCell ref="AL4:AO4"/>
    <mergeCell ref="AP4:AT4"/>
    <mergeCell ref="AY4:BB4"/>
    <mergeCell ref="BC4:BG4"/>
  </mergeCells>
  <phoneticPr fontId="15" type="noConversion"/>
  <conditionalFormatting sqref="B32:BO32">
    <cfRule type="expression" dxfId="9" priority="2">
      <formula>TRUE</formula>
    </cfRule>
  </conditionalFormatting>
  <conditionalFormatting sqref="H5:BO5">
    <cfRule type="expression" dxfId="8" priority="8">
      <formula>H$5=period_selected</formula>
    </cfRule>
  </conditionalFormatting>
  <conditionalFormatting sqref="H6:BO31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H$5=period_selected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:H4" xr:uid="{00000000-0002-0000-0000-000007000000}"/>
    <dataValidation allowBlank="1" showInputMessage="1" showErrorMessage="1" prompt="Enter activity in column B, starting with cell B5_x000a_" sqref="B3:B5" xr:uid="{00000000-0002-0000-0000-000008000000}"/>
    <dataValidation allowBlank="1" showInputMessage="1" showErrorMessage="1" prompt="Enter plan start period in column C, starting with cell C5" sqref="C3:C5" xr:uid="{00000000-0002-0000-0000-000009000000}"/>
    <dataValidation allowBlank="1" showInputMessage="1" showErrorMessage="1" prompt="Enter plan duration period in column D, starting with cell D5" sqref="D3:D5" xr:uid="{00000000-0002-0000-0000-00000A000000}"/>
    <dataValidation allowBlank="1" showInputMessage="1" showErrorMessage="1" prompt="Enter actual start period in column E, starting with cell E5" sqref="E3:E5" xr:uid="{00000000-0002-0000-0000-00000B000000}"/>
    <dataValidation allowBlank="1" showInputMessage="1" showErrorMessage="1" prompt="Enter actual duration period in column F, starting with cell F5" sqref="F3:F5" xr:uid="{00000000-0002-0000-0000-00000C000000}"/>
    <dataValidation allowBlank="1" showInputMessage="1" showErrorMessage="1" prompt="Enter the percentage of project completed in column G, starting with cell G5" sqref="G3:G5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75BEF2A167564EABFCC240573692B4" ma:contentTypeVersion="14" ma:contentTypeDescription="Create a new document." ma:contentTypeScope="" ma:versionID="94467ab886b6d08d7469711cb70596c7">
  <xsd:schema xmlns:xsd="http://www.w3.org/2001/XMLSchema" xmlns:xs="http://www.w3.org/2001/XMLSchema" xmlns:p="http://schemas.microsoft.com/office/2006/metadata/properties" xmlns:ns2="c0cf14c6-0f59-4d43-b4c0-557cd2780d44" xmlns:ns3="87a38d6e-0924-437d-a826-e2102181e1d9" targetNamespace="http://schemas.microsoft.com/office/2006/metadata/properties" ma:root="true" ma:fieldsID="20105a018b72ebbbfe1d3a1021575ee7" ns2:_="" ns3:_="">
    <xsd:import namespace="c0cf14c6-0f59-4d43-b4c0-557cd2780d44"/>
    <xsd:import namespace="87a38d6e-0924-437d-a826-e2102181e1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f14c6-0f59-4d43-b4c0-557cd2780d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a38d6e-0924-437d-a826-e2102181e1d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690e7b86-5a23-47f7-b859-90fe5210a970}" ma:internalName="TaxCatchAll" ma:showField="CatchAllData" ma:web="87a38d6e-0924-437d-a826-e2102181e1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a38d6e-0924-437d-a826-e2102181e1d9" xsi:nil="true"/>
    <lcf76f155ced4ddcb4097134ff3c332f xmlns="c0cf14c6-0f59-4d43-b4c0-557cd2780d4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36DFD5-AB90-4456-A947-B44CC3C680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f14c6-0f59-4d43-b4c0-557cd2780d44"/>
    <ds:schemaRef ds:uri="87a38d6e-0924-437d-a826-e2102181e1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885AA6-BA53-42A3-B16A-21C577067E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C6491C-9489-4BDA-AC6D-C85EE507D4F3}">
  <ds:schemaRefs>
    <ds:schemaRef ds:uri="http://schemas.openxmlformats.org/package/2006/metadata/core-properties"/>
    <ds:schemaRef ds:uri="c0cf14c6-0f59-4d43-b4c0-557cd2780d44"/>
    <ds:schemaRef ds:uri="http://purl.org/dc/elements/1.1/"/>
    <ds:schemaRef ds:uri="http://purl.org/dc/terms/"/>
    <ds:schemaRef ds:uri="http://purl.org/dc/dcmitype/"/>
    <ds:schemaRef ds:uri="87a38d6e-0924-437d-a826-e2102181e1d9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Marbleshore</vt:lpstr>
      <vt:lpstr>Monthly file PCG-DW- 2 LOBS</vt:lpstr>
      <vt:lpstr>Assumptions</vt:lpstr>
      <vt:lpstr>Option 2 - PCS Data</vt:lpstr>
      <vt:lpstr>Marbleshore!period_selected</vt:lpstr>
      <vt:lpstr>'Monthly file PCG-DW- 2 LOBS'!period_selected</vt:lpstr>
      <vt:lpstr>period_selected</vt:lpstr>
      <vt:lpstr>Marbleshore!Print_Titles</vt:lpstr>
      <vt:lpstr>'Monthly file PCG-DW- 2 LOBS'!Print_Titles</vt:lpstr>
      <vt:lpstr>'Option 2 - PCS Data'!Print_Titles</vt:lpstr>
      <vt:lpstr>Marbleshore!TitleRegion..BO60</vt:lpstr>
      <vt:lpstr>'Monthly file PCG-DW- 2 LOBS'!TitleRegion..BO60</vt:lpstr>
      <vt:lpstr>TitleRegion..BO60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2021-12-27T22:07:09Z</dcterms:created>
  <dcterms:modified xsi:type="dcterms:W3CDTF">2026-04-08T06:49:51Z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0x010100CD75BEF2A167564EABFCC240573692B4</vt:lpwstr>
  </property>
  <property fmtid="{D5CDD505-2E9C-101B-9397-08002B2CF9AE}" pid="3" name="MediaServiceImageTags">
    <vt:lpwstr/>
  </property>
  <property fmtid="{D5CDD505-2E9C-101B-9397-08002B2CF9AE}" pid="4" name="MSIP_Label_ea60d57e-af5b-4752-ac57-3e4f28ca11dc_Enabled">
    <vt:lpwstr>true</vt:lpwstr>
  </property>
  <property fmtid="{D5CDD505-2E9C-101B-9397-08002B2CF9AE}" pid="5" name="MSIP_Label_ea60d57e-af5b-4752-ac57-3e4f28ca11dc_SetDate">
    <vt:lpwstr>2025-01-29T10:23:01Z</vt:lpwstr>
  </property>
  <property fmtid="{D5CDD505-2E9C-101B-9397-08002B2CF9AE}" pid="6" name="MSIP_Label_ea60d57e-af5b-4752-ac57-3e4f28ca11dc_Method">
    <vt:lpwstr>Standard</vt:lpwstr>
  </property>
  <property fmtid="{D5CDD505-2E9C-101B-9397-08002B2CF9AE}" pid="7" name="MSIP_Label_ea60d57e-af5b-4752-ac57-3e4f28ca11dc_Name">
    <vt:lpwstr>ea60d57e-af5b-4752-ac57-3e4f28ca11dc</vt:lpwstr>
  </property>
  <property fmtid="{D5CDD505-2E9C-101B-9397-08002B2CF9AE}" pid="8" name="MSIP_Label_ea60d57e-af5b-4752-ac57-3e4f28ca11dc_SiteId">
    <vt:lpwstr>36da45f1-dd2c-4d1f-af13-5abe46b99921</vt:lpwstr>
  </property>
  <property fmtid="{D5CDD505-2E9C-101B-9397-08002B2CF9AE}" pid="9" name="MSIP_Label_ea60d57e-af5b-4752-ac57-3e4f28ca11dc_ActionId">
    <vt:lpwstr>ecf3c4d9-9475-4345-9608-8f16dc61a37e</vt:lpwstr>
  </property>
  <property fmtid="{D5CDD505-2E9C-101B-9397-08002B2CF9AE}" pid="10" name="MSIP_Label_ea60d57e-af5b-4752-ac57-3e4f28ca11dc_ContentBits">
    <vt:lpwstr>0</vt:lpwstr>
  </property>
</Properties>
</file>